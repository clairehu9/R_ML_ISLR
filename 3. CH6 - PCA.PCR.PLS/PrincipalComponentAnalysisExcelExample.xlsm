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MyDocuments\BUAD5082 - Machine Learning 2\03DimensionReductionAndHigherOrder\"/>
    </mc:Choice>
  </mc:AlternateContent>
  <bookViews>
    <workbookView xWindow="0" yWindow="0" windowWidth="20400" windowHeight="8205" activeTab="1"/>
  </bookViews>
  <sheets>
    <sheet name="Explain" sheetId="6" r:id="rId1"/>
    <sheet name="PCAMaxVar" sheetId="4" r:id="rId2"/>
    <sheet name="PCAMinDist" sheetId="5" r:id="rId3"/>
    <sheet name="PCADemoScaled" sheetId="8" r:id="rId4"/>
    <sheet name="Talk" sheetId="7" state="hidden" r:id="rId5"/>
  </sheets>
  <definedNames>
    <definedName name="normphi" localSheetId="1">PCAMaxVar!$K$8</definedName>
    <definedName name="normphi" localSheetId="2">PCAMinDist!$K$8</definedName>
    <definedName name="ph1ph2" localSheetId="1">PCAMaxVar!$K$2:$L$2</definedName>
    <definedName name="ph1ph2" localSheetId="2">PCAMinDist!$K$2:$L$2</definedName>
    <definedName name="phi_01" localSheetId="3">PCADemoScaled!$N$15</definedName>
    <definedName name="phi_01" localSheetId="1">PCAMaxVar!$K$2</definedName>
    <definedName name="phi_01" localSheetId="2">PCAMinDist!$K$2</definedName>
    <definedName name="phi_02" localSheetId="3">PCADemoScaled!$N$16</definedName>
    <definedName name="phi_02" localSheetId="1">PCAMaxVar!$L$2</definedName>
    <definedName name="phi_02" localSheetId="2">PCAMinDist!$L$2</definedName>
    <definedName name="ShowProjection" localSheetId="1">PCAMaxVar!$K$39</definedName>
    <definedName name="ShowProjection" localSheetId="2">PCAMinDist!$K$39</definedName>
    <definedName name="slopeintercept" localSheetId="1">PCAMaxVar!$R$2:$S$2</definedName>
    <definedName name="slopeintercept" localSheetId="2">PCAMinDist!$R$2:$S$2</definedName>
    <definedName name="solver_adj" localSheetId="3" hidden="1">PCADemoScaled!$N$15:$N$16</definedName>
    <definedName name="solver_adj" localSheetId="1" hidden="1">PCAMaxVar!$K$2:$L$2</definedName>
    <definedName name="solver_adj" localSheetId="2" hidden="1">PCAMinDist!$R$2:$S$2</definedName>
    <definedName name="solver_cvg" localSheetId="3" hidden="1">0.0001</definedName>
    <definedName name="solver_cvg" localSheetId="1" hidden="1">0.0001</definedName>
    <definedName name="solver_cvg" localSheetId="2" hidden="1">0.0001</definedName>
    <definedName name="solver_drv" localSheetId="3" hidden="1">2</definedName>
    <definedName name="solver_drv" localSheetId="1" hidden="1">2</definedName>
    <definedName name="solver_drv" localSheetId="2" hidden="1">2</definedName>
    <definedName name="solver_eng" localSheetId="3" hidden="1">1</definedName>
    <definedName name="solver_eng" localSheetId="1" hidden="1">1</definedName>
    <definedName name="solver_eng" localSheetId="2" hidden="1">1</definedName>
    <definedName name="solver_est" localSheetId="3" hidden="1">1</definedName>
    <definedName name="solver_est" localSheetId="1" hidden="1">1</definedName>
    <definedName name="solver_est" localSheetId="2" hidden="1">1</definedName>
    <definedName name="solver_itr" localSheetId="3" hidden="1">2147483647</definedName>
    <definedName name="solver_itr" localSheetId="1" hidden="1">2147483647</definedName>
    <definedName name="solver_itr" localSheetId="2" hidden="1">2147483647</definedName>
    <definedName name="solver_lhs1" localSheetId="3" hidden="1">PCADemoScaled!$N$19</definedName>
    <definedName name="solver_lhs1" localSheetId="1" hidden="1">PCAMaxVar!$K$8</definedName>
    <definedName name="solver_lhs1" localSheetId="2" hidden="1">PCAMinDist!$K$8</definedName>
    <definedName name="solver_mip" localSheetId="3" hidden="1">2147483647</definedName>
    <definedName name="solver_mip" localSheetId="1" hidden="1">2147483647</definedName>
    <definedName name="solver_mip" localSheetId="2" hidden="1">2147483647</definedName>
    <definedName name="solver_mni" localSheetId="3" hidden="1">30</definedName>
    <definedName name="solver_mni" localSheetId="1" hidden="1">30</definedName>
    <definedName name="solver_mni" localSheetId="2" hidden="1">30</definedName>
    <definedName name="solver_mrt" localSheetId="3" hidden="1">0.075</definedName>
    <definedName name="solver_mrt" localSheetId="1" hidden="1">0.075</definedName>
    <definedName name="solver_mrt" localSheetId="2" hidden="1">0.075</definedName>
    <definedName name="solver_msl" localSheetId="3" hidden="1">2</definedName>
    <definedName name="solver_msl" localSheetId="1" hidden="1">2</definedName>
    <definedName name="solver_msl" localSheetId="2" hidden="1">2</definedName>
    <definedName name="solver_neg" localSheetId="3" hidden="1">1</definedName>
    <definedName name="solver_neg" localSheetId="1" hidden="1">1</definedName>
    <definedName name="solver_neg" localSheetId="2" hidden="1">1</definedName>
    <definedName name="solver_nod" localSheetId="3" hidden="1">2147483647</definedName>
    <definedName name="solver_nod" localSheetId="1" hidden="1">2147483647</definedName>
    <definedName name="solver_nod" localSheetId="2" hidden="1">2147483647</definedName>
    <definedName name="solver_num" localSheetId="3" hidden="1">1</definedName>
    <definedName name="solver_num" localSheetId="1" hidden="1">1</definedName>
    <definedName name="solver_num" localSheetId="2" hidden="1">0</definedName>
    <definedName name="solver_nwt" localSheetId="3" hidden="1">1</definedName>
    <definedName name="solver_nwt" localSheetId="1" hidden="1">1</definedName>
    <definedName name="solver_nwt" localSheetId="2" hidden="1">1</definedName>
    <definedName name="solver_opt" localSheetId="3" hidden="1">PCADemoScaled!$N$25</definedName>
    <definedName name="solver_opt" localSheetId="1" hidden="1">PCAMaxVar!$L$8</definedName>
    <definedName name="solver_opt" localSheetId="2" hidden="1">PCAMinDist!$V$2</definedName>
    <definedName name="solver_pre" localSheetId="3" hidden="1">0.000001</definedName>
    <definedName name="solver_pre" localSheetId="1" hidden="1">0.000001</definedName>
    <definedName name="solver_pre" localSheetId="2" hidden="1">0.000001</definedName>
    <definedName name="solver_rbv" localSheetId="3" hidden="1">2</definedName>
    <definedName name="solver_rbv" localSheetId="1" hidden="1">2</definedName>
    <definedName name="solver_rbv" localSheetId="2" hidden="1">2</definedName>
    <definedName name="solver_rel1" localSheetId="3" hidden="1">1</definedName>
    <definedName name="solver_rel1" localSheetId="1" hidden="1">2</definedName>
    <definedName name="solver_rel1" localSheetId="2" hidden="1">2</definedName>
    <definedName name="solver_rhs1" localSheetId="3" hidden="1">1</definedName>
    <definedName name="solver_rhs1" localSheetId="1" hidden="1">1</definedName>
    <definedName name="solver_rhs1" localSheetId="2" hidden="1">1</definedName>
    <definedName name="solver_rlx" localSheetId="3" hidden="1">2</definedName>
    <definedName name="solver_rlx" localSheetId="1" hidden="1">2</definedName>
    <definedName name="solver_rlx" localSheetId="2" hidden="1">2</definedName>
    <definedName name="solver_rsd" localSheetId="3" hidden="1">0</definedName>
    <definedName name="solver_rsd" localSheetId="1" hidden="1">0</definedName>
    <definedName name="solver_rsd" localSheetId="2" hidden="1">0</definedName>
    <definedName name="solver_scl" localSheetId="3" hidden="1">2</definedName>
    <definedName name="solver_scl" localSheetId="1" hidden="1">2</definedName>
    <definedName name="solver_scl" localSheetId="2" hidden="1">2</definedName>
    <definedName name="solver_sho" localSheetId="3" hidden="1">2</definedName>
    <definedName name="solver_sho" localSheetId="1" hidden="1">2</definedName>
    <definedName name="solver_sho" localSheetId="2" hidden="1">2</definedName>
    <definedName name="solver_ssz" localSheetId="3" hidden="1">100</definedName>
    <definedName name="solver_ssz" localSheetId="1" hidden="1">100</definedName>
    <definedName name="solver_ssz" localSheetId="2" hidden="1">100</definedName>
    <definedName name="solver_tim" localSheetId="3" hidden="1">2147483647</definedName>
    <definedName name="solver_tim" localSheetId="1" hidden="1">2147483647</definedName>
    <definedName name="solver_tim" localSheetId="2" hidden="1">2147483647</definedName>
    <definedName name="solver_tol" localSheetId="3" hidden="1">0.01</definedName>
    <definedName name="solver_tol" localSheetId="1" hidden="1">0.01</definedName>
    <definedName name="solver_tol" localSheetId="2" hidden="1">0.01</definedName>
    <definedName name="solver_typ" localSheetId="3" hidden="1">1</definedName>
    <definedName name="solver_typ" localSheetId="1" hidden="1">1</definedName>
    <definedName name="solver_typ" localSheetId="2" hidden="1">2</definedName>
    <definedName name="solver_val" localSheetId="3" hidden="1">0</definedName>
    <definedName name="solver_val" localSheetId="1" hidden="1">0</definedName>
    <definedName name="solver_val" localSheetId="2" hidden="1">0</definedName>
    <definedName name="solver_ver" localSheetId="3" hidden="1">3</definedName>
    <definedName name="solver_ver" localSheetId="1" hidden="1">3</definedName>
    <definedName name="solver_ver" localSheetId="2" hidden="1">3</definedName>
    <definedName name="sumdist" localSheetId="1">PCAMaxVar!$V$2</definedName>
    <definedName name="sumdist" localSheetId="2">PCAMinDist!$V$2</definedName>
    <definedName name="varz1" localSheetId="1">PCAMaxVar!$L$8</definedName>
    <definedName name="varz1" localSheetId="2">PCAMinDist!$L$8</definedName>
  </definedNames>
  <calcPr calcId="162913"/>
</workbook>
</file>

<file path=xl/calcChain.xml><?xml version="1.0" encoding="utf-8"?>
<calcChain xmlns="http://schemas.openxmlformats.org/spreadsheetml/2006/main">
  <c r="AG2" i="5" l="1" a="1"/>
  <c r="AG2" i="5" s="1"/>
  <c r="AG17" i="5" l="1"/>
  <c r="AG16" i="5"/>
  <c r="AG31" i="5"/>
  <c r="AG15" i="5"/>
  <c r="AG6" i="5"/>
  <c r="AG29" i="5"/>
  <c r="AG13" i="5"/>
  <c r="AG5" i="5"/>
  <c r="AG28" i="5"/>
  <c r="AG20" i="5"/>
  <c r="AG12" i="5"/>
  <c r="AG4" i="5"/>
  <c r="AG9" i="5"/>
  <c r="AG8" i="5"/>
  <c r="AG23" i="5"/>
  <c r="AG30" i="5"/>
  <c r="AG3" i="5"/>
  <c r="AG25" i="5"/>
  <c r="AG24" i="5"/>
  <c r="AG7" i="5"/>
  <c r="AG22" i="5"/>
  <c r="AG14" i="5"/>
  <c r="AG21" i="5"/>
  <c r="AG27" i="5"/>
  <c r="AG19" i="5"/>
  <c r="AG11" i="5"/>
  <c r="AG26" i="5"/>
  <c r="AG18" i="5"/>
  <c r="AG10" i="5"/>
  <c r="E39" i="8"/>
  <c r="D39" i="8"/>
  <c r="D37" i="8"/>
  <c r="D36" i="8"/>
  <c r="F28" i="8"/>
  <c r="L29" i="8" s="1"/>
  <c r="F27" i="8"/>
  <c r="L28" i="8" s="1"/>
  <c r="E22" i="8"/>
  <c r="J22" i="8" s="1"/>
  <c r="D22" i="8"/>
  <c r="E21" i="8"/>
  <c r="J21" i="8" s="1"/>
  <c r="D21" i="8"/>
  <c r="F20" i="8"/>
  <c r="L21" i="8" s="1"/>
  <c r="Q19" i="8"/>
  <c r="N19" i="8" a="1"/>
  <c r="N19" i="8" s="1"/>
  <c r="J19" i="8"/>
  <c r="E19" i="8"/>
  <c r="G19" i="8" s="1"/>
  <c r="Q17" i="8"/>
  <c r="E17" i="8"/>
  <c r="J17" i="8" s="1"/>
  <c r="D17" i="8"/>
  <c r="F16" i="8"/>
  <c r="L17" i="8" s="1"/>
  <c r="Q15" i="8"/>
  <c r="N12" i="8"/>
  <c r="E12" i="8"/>
  <c r="G12" i="8" s="1"/>
  <c r="J11" i="8"/>
  <c r="E11" i="8"/>
  <c r="G11" i="8" s="1"/>
  <c r="Q10" i="8"/>
  <c r="J10" i="8"/>
  <c r="E10" i="8"/>
  <c r="G10" i="8" s="1"/>
  <c r="N9" i="8"/>
  <c r="F26" i="8" s="1"/>
  <c r="E9" i="8"/>
  <c r="J9" i="8" s="1"/>
  <c r="E8" i="8"/>
  <c r="J8" i="8" s="1"/>
  <c r="E7" i="8"/>
  <c r="J7" i="8" s="1"/>
  <c r="N6" i="8"/>
  <c r="G8" i="8" s="1"/>
  <c r="E6" i="8"/>
  <c r="J6" i="8" s="1"/>
  <c r="D6" i="8"/>
  <c r="E5" i="8"/>
  <c r="J5" i="8" s="1"/>
  <c r="D5" i="8"/>
  <c r="E4" i="8"/>
  <c r="J4" i="8" s="1"/>
  <c r="D4" i="8"/>
  <c r="N3" i="8"/>
  <c r="E28" i="8" s="1"/>
  <c r="E3" i="8"/>
  <c r="D3" i="8"/>
  <c r="J28" i="8" l="1"/>
  <c r="G28" i="8"/>
  <c r="P20" i="8"/>
  <c r="P25" i="8"/>
  <c r="L27" i="8"/>
  <c r="H26" i="8"/>
  <c r="P16" i="8"/>
  <c r="D7" i="8"/>
  <c r="D18" i="8"/>
  <c r="D23" i="8"/>
  <c r="D24" i="8"/>
  <c r="D25" i="8"/>
  <c r="F3" i="8"/>
  <c r="F4" i="8"/>
  <c r="F5" i="8"/>
  <c r="F6" i="8"/>
  <c r="D10" i="8"/>
  <c r="J12" i="8"/>
  <c r="H16" i="8"/>
  <c r="F17" i="8"/>
  <c r="E18" i="8"/>
  <c r="H20" i="8"/>
  <c r="F21" i="8"/>
  <c r="F22" i="8"/>
  <c r="E23" i="8"/>
  <c r="E24" i="8"/>
  <c r="E25" i="8"/>
  <c r="H27" i="8"/>
  <c r="Q28" i="8" s="1"/>
  <c r="Q29" i="8" s="1"/>
  <c r="H28" i="8"/>
  <c r="E29" i="8"/>
  <c r="D30" i="8"/>
  <c r="D31" i="8"/>
  <c r="D32" i="8"/>
  <c r="D29" i="8"/>
  <c r="G3" i="8"/>
  <c r="G4" i="8"/>
  <c r="G5" i="8"/>
  <c r="G6" i="8"/>
  <c r="F7" i="8"/>
  <c r="F8" i="8"/>
  <c r="F9" i="8"/>
  <c r="D11" i="8"/>
  <c r="G17" i="8"/>
  <c r="F18" i="8"/>
  <c r="D19" i="8"/>
  <c r="G21" i="8"/>
  <c r="G22" i="8"/>
  <c r="F23" i="8"/>
  <c r="F24" i="8"/>
  <c r="F25" i="8"/>
  <c r="F29" i="8"/>
  <c r="E30" i="8"/>
  <c r="E31" i="8"/>
  <c r="E32" i="8"/>
  <c r="F32" i="8"/>
  <c r="H32" i="8" s="1"/>
  <c r="D14" i="8"/>
  <c r="G7" i="8"/>
  <c r="G9" i="8"/>
  <c r="F11" i="8"/>
  <c r="D15" i="8"/>
  <c r="D26" i="8"/>
  <c r="J3" i="8"/>
  <c r="F12" i="8"/>
  <c r="E13" i="8"/>
  <c r="N25" i="8" s="1" a="1"/>
  <c r="N25" i="8" s="1"/>
  <c r="E14" i="8"/>
  <c r="E15" i="8"/>
  <c r="D16" i="8"/>
  <c r="D20" i="8"/>
  <c r="E26" i="8"/>
  <c r="D27" i="8"/>
  <c r="D28" i="8"/>
  <c r="D8" i="8"/>
  <c r="D9" i="8"/>
  <c r="F10" i="8"/>
  <c r="D12" i="8"/>
  <c r="F30" i="8"/>
  <c r="F31" i="8"/>
  <c r="D13" i="8"/>
  <c r="F19" i="8"/>
  <c r="F13" i="8"/>
  <c r="F14" i="8"/>
  <c r="F15" i="8"/>
  <c r="E16" i="8"/>
  <c r="E20" i="8"/>
  <c r="E27" i="8"/>
  <c r="P2" i="4" a="1"/>
  <c r="P2" i="4" s="1"/>
  <c r="N22" i="8" l="1"/>
  <c r="H7" i="8"/>
  <c r="I7" i="8" s="1"/>
  <c r="L8" i="8"/>
  <c r="J32" i="8"/>
  <c r="G32" i="8"/>
  <c r="I32" i="8" s="1"/>
  <c r="H31" i="8"/>
  <c r="L32" i="8"/>
  <c r="G31" i="8"/>
  <c r="J31" i="8"/>
  <c r="I5" i="8"/>
  <c r="L22" i="8"/>
  <c r="H21" i="8"/>
  <c r="L6" i="8"/>
  <c r="H5" i="8"/>
  <c r="I21" i="8"/>
  <c r="I6" i="8"/>
  <c r="H22" i="8"/>
  <c r="Q18" i="8" s="1"/>
  <c r="L23" i="8"/>
  <c r="H6" i="8"/>
  <c r="L7" i="8"/>
  <c r="J27" i="8"/>
  <c r="G27" i="8"/>
  <c r="J26" i="8"/>
  <c r="G26" i="8"/>
  <c r="I26" i="8" s="1"/>
  <c r="G20" i="8"/>
  <c r="I20" i="8" s="1"/>
  <c r="J20" i="8"/>
  <c r="H30" i="8"/>
  <c r="L31" i="8"/>
  <c r="G30" i="8"/>
  <c r="I30" i="8" s="1"/>
  <c r="J30" i="8"/>
  <c r="H18" i="8"/>
  <c r="L19" i="8"/>
  <c r="I4" i="8"/>
  <c r="J29" i="8"/>
  <c r="G29" i="8"/>
  <c r="L5" i="8"/>
  <c r="H4" i="8"/>
  <c r="L13" i="8"/>
  <c r="H12" i="8"/>
  <c r="I12" i="8" s="1"/>
  <c r="J16" i="8"/>
  <c r="G16" i="8"/>
  <c r="I16" i="8" s="1"/>
  <c r="H11" i="8"/>
  <c r="I11" i="8" s="1"/>
  <c r="L12" i="8"/>
  <c r="E41" i="8"/>
  <c r="L4" i="8"/>
  <c r="H3" i="8"/>
  <c r="I3" i="8" s="1"/>
  <c r="D42" i="8"/>
  <c r="E42" i="8"/>
  <c r="H10" i="8"/>
  <c r="L11" i="8"/>
  <c r="J15" i="8"/>
  <c r="G15" i="8"/>
  <c r="H25" i="8"/>
  <c r="L26" i="8"/>
  <c r="L18" i="8"/>
  <c r="H17" i="8"/>
  <c r="I17" i="8" s="1"/>
  <c r="D41" i="8"/>
  <c r="P18" i="8"/>
  <c r="J23" i="8"/>
  <c r="G23" i="8"/>
  <c r="H29" i="8"/>
  <c r="L30" i="8"/>
  <c r="L15" i="8"/>
  <c r="H14" i="8"/>
  <c r="G14" i="8"/>
  <c r="J14" i="8"/>
  <c r="L25" i="8"/>
  <c r="H24" i="8"/>
  <c r="L10" i="8"/>
  <c r="H9" i="8"/>
  <c r="I9" i="8" s="1"/>
  <c r="J25" i="8"/>
  <c r="G25" i="8"/>
  <c r="I28" i="8"/>
  <c r="H19" i="8"/>
  <c r="L20" i="8"/>
  <c r="J18" i="8"/>
  <c r="G18" i="8"/>
  <c r="I18" i="8" s="1"/>
  <c r="H15" i="8"/>
  <c r="L16" i="8"/>
  <c r="L14" i="8"/>
  <c r="H13" i="8"/>
  <c r="J13" i="8"/>
  <c r="G13" i="8"/>
  <c r="L24" i="8"/>
  <c r="H23" i="8"/>
  <c r="H8" i="8"/>
  <c r="I8" i="8" s="1"/>
  <c r="L9" i="8"/>
  <c r="D44" i="8" a="1"/>
  <c r="J24" i="8"/>
  <c r="G24" i="8"/>
  <c r="P9" i="4"/>
  <c r="P30" i="4"/>
  <c r="P25" i="4"/>
  <c r="P17" i="4"/>
  <c r="P24" i="4"/>
  <c r="P16" i="4"/>
  <c r="P8" i="4"/>
  <c r="P31" i="4"/>
  <c r="P23" i="4"/>
  <c r="P15" i="4"/>
  <c r="P7" i="4"/>
  <c r="P22" i="4"/>
  <c r="P14" i="4"/>
  <c r="P6" i="4"/>
  <c r="P29" i="4"/>
  <c r="P21" i="4"/>
  <c r="P13" i="4"/>
  <c r="P5" i="4"/>
  <c r="P28" i="4"/>
  <c r="P20" i="4"/>
  <c r="P12" i="4"/>
  <c r="P4" i="4"/>
  <c r="P27" i="4"/>
  <c r="P19" i="4"/>
  <c r="P11" i="4"/>
  <c r="P3" i="4"/>
  <c r="P26" i="4"/>
  <c r="P18" i="4"/>
  <c r="P10" i="4"/>
  <c r="N2" i="4"/>
  <c r="I31" i="8" l="1"/>
  <c r="I13" i="8"/>
  <c r="I24" i="8"/>
  <c r="I23" i="8"/>
  <c r="E44" i="8"/>
  <c r="E45" i="8"/>
  <c r="D45" i="8"/>
  <c r="D44" i="8"/>
  <c r="D47" i="8" s="1" a="1"/>
  <c r="D47" i="8" s="1"/>
  <c r="I15" i="8"/>
  <c r="Q16" i="8"/>
  <c r="Q11" i="8" s="1"/>
  <c r="I10" i="8"/>
  <c r="Q20" i="8"/>
  <c r="Q25" i="8"/>
  <c r="Q26" i="8" s="1"/>
  <c r="I19" i="8"/>
  <c r="I25" i="8"/>
  <c r="I14" i="8"/>
  <c r="I22" i="8"/>
  <c r="P28" i="8"/>
  <c r="I27" i="8"/>
  <c r="I29" i="8"/>
  <c r="AA32" i="5"/>
  <c r="AA31" i="5"/>
  <c r="X31" i="5"/>
  <c r="T31" i="5"/>
  <c r="AA30" i="5"/>
  <c r="X30" i="5"/>
  <c r="T30" i="5"/>
  <c r="AA29" i="5"/>
  <c r="X29" i="5"/>
  <c r="T29" i="5"/>
  <c r="AA28" i="5"/>
  <c r="X28" i="5"/>
  <c r="T28" i="5"/>
  <c r="I28" i="5"/>
  <c r="H28" i="5"/>
  <c r="N28" i="5" s="1"/>
  <c r="AA27" i="5"/>
  <c r="X27" i="5"/>
  <c r="T27" i="5"/>
  <c r="AA26" i="5"/>
  <c r="X26" i="5"/>
  <c r="T26" i="5"/>
  <c r="AA25" i="5"/>
  <c r="X25" i="5"/>
  <c r="T25" i="5"/>
  <c r="AA24" i="5"/>
  <c r="X24" i="5"/>
  <c r="T24" i="5"/>
  <c r="I24" i="5"/>
  <c r="H24" i="5"/>
  <c r="N24" i="5" s="1"/>
  <c r="AA23" i="5"/>
  <c r="X23" i="5"/>
  <c r="T23" i="5"/>
  <c r="AA22" i="5"/>
  <c r="X22" i="5"/>
  <c r="T22" i="5"/>
  <c r="AA21" i="5"/>
  <c r="X21" i="5"/>
  <c r="T21" i="5"/>
  <c r="AA20" i="5"/>
  <c r="X20" i="5"/>
  <c r="T20" i="5"/>
  <c r="I20" i="5"/>
  <c r="H20" i="5"/>
  <c r="N20" i="5" s="1"/>
  <c r="AA19" i="5"/>
  <c r="X19" i="5"/>
  <c r="T19" i="5"/>
  <c r="AA18" i="5"/>
  <c r="X18" i="5"/>
  <c r="T18" i="5"/>
  <c r="AA17" i="5"/>
  <c r="X17" i="5"/>
  <c r="T17" i="5"/>
  <c r="AA16" i="5"/>
  <c r="X16" i="5"/>
  <c r="T16" i="5"/>
  <c r="I16" i="5"/>
  <c r="H16" i="5"/>
  <c r="N16" i="5" s="1"/>
  <c r="AA15" i="5"/>
  <c r="X15" i="5"/>
  <c r="T15" i="5"/>
  <c r="AA14" i="5"/>
  <c r="X14" i="5"/>
  <c r="T14" i="5"/>
  <c r="AA13" i="5"/>
  <c r="X13" i="5"/>
  <c r="T13" i="5"/>
  <c r="AA12" i="5"/>
  <c r="X12" i="5"/>
  <c r="T12" i="5"/>
  <c r="I12" i="5"/>
  <c r="H12" i="5"/>
  <c r="N12" i="5" s="1"/>
  <c r="AA11" i="5"/>
  <c r="X11" i="5"/>
  <c r="T11" i="5"/>
  <c r="AE10" i="5"/>
  <c r="AE11" i="5" s="1"/>
  <c r="AD10" i="5"/>
  <c r="AA10" i="5"/>
  <c r="X10" i="5"/>
  <c r="T10" i="5"/>
  <c r="AA9" i="5"/>
  <c r="X9" i="5"/>
  <c r="T9" i="5"/>
  <c r="I9" i="5"/>
  <c r="AA8" i="5"/>
  <c r="X8" i="5"/>
  <c r="T8" i="5"/>
  <c r="K8" i="5"/>
  <c r="AE7" i="5"/>
  <c r="AE8" i="5" s="1"/>
  <c r="AD7" i="5"/>
  <c r="AA7" i="5"/>
  <c r="X7" i="5"/>
  <c r="T7" i="5"/>
  <c r="AA6" i="5"/>
  <c r="X6" i="5"/>
  <c r="T6" i="5"/>
  <c r="R6" i="5"/>
  <c r="AE5" i="5"/>
  <c r="S6" i="5" s="1"/>
  <c r="AD5" i="5"/>
  <c r="AA5" i="5"/>
  <c r="X5" i="5"/>
  <c r="T5" i="5"/>
  <c r="AA4" i="5"/>
  <c r="X4" i="5"/>
  <c r="T4" i="5"/>
  <c r="AA3" i="5"/>
  <c r="X3" i="5"/>
  <c r="T3" i="5"/>
  <c r="I3" i="5"/>
  <c r="X2" i="5"/>
  <c r="T2" i="5"/>
  <c r="F2" i="5"/>
  <c r="I29" i="5" s="1"/>
  <c r="E2" i="5"/>
  <c r="H22" i="5" s="1"/>
  <c r="AA32" i="4"/>
  <c r="AA31" i="4"/>
  <c r="X31" i="4"/>
  <c r="T31" i="4"/>
  <c r="H31" i="4"/>
  <c r="AA30" i="4"/>
  <c r="X30" i="4"/>
  <c r="T30" i="4"/>
  <c r="AA29" i="4"/>
  <c r="X29" i="4"/>
  <c r="T29" i="4"/>
  <c r="AA28" i="4"/>
  <c r="X28" i="4"/>
  <c r="T28" i="4"/>
  <c r="I28" i="4"/>
  <c r="AA27" i="4"/>
  <c r="X27" i="4"/>
  <c r="T27" i="4"/>
  <c r="H27" i="4"/>
  <c r="AA26" i="4"/>
  <c r="X26" i="4"/>
  <c r="T26" i="4"/>
  <c r="AA25" i="4"/>
  <c r="X25" i="4"/>
  <c r="T25" i="4"/>
  <c r="AA24" i="4"/>
  <c r="X24" i="4"/>
  <c r="T24" i="4"/>
  <c r="I24" i="4"/>
  <c r="AA23" i="4"/>
  <c r="X23" i="4"/>
  <c r="T23" i="4"/>
  <c r="H23" i="4"/>
  <c r="AA22" i="4"/>
  <c r="X22" i="4"/>
  <c r="T22" i="4"/>
  <c r="AA21" i="4"/>
  <c r="X21" i="4"/>
  <c r="T21" i="4"/>
  <c r="AA20" i="4"/>
  <c r="X20" i="4"/>
  <c r="T20" i="4"/>
  <c r="I20" i="4"/>
  <c r="AA19" i="4"/>
  <c r="X19" i="4"/>
  <c r="T19" i="4"/>
  <c r="H19" i="4"/>
  <c r="AA18" i="4"/>
  <c r="X18" i="4"/>
  <c r="T18" i="4"/>
  <c r="AA17" i="4"/>
  <c r="X17" i="4"/>
  <c r="T17" i="4"/>
  <c r="AA16" i="4"/>
  <c r="X16" i="4"/>
  <c r="T16" i="4"/>
  <c r="I16" i="4"/>
  <c r="AA15" i="4"/>
  <c r="X15" i="4"/>
  <c r="T15" i="4"/>
  <c r="H15" i="4"/>
  <c r="AA14" i="4"/>
  <c r="X14" i="4"/>
  <c r="T14" i="4"/>
  <c r="AA13" i="4"/>
  <c r="X13" i="4"/>
  <c r="T13" i="4"/>
  <c r="AA12" i="4"/>
  <c r="X12" i="4"/>
  <c r="T12" i="4"/>
  <c r="I12" i="4"/>
  <c r="AE11" i="4"/>
  <c r="AA11" i="4"/>
  <c r="X11" i="4"/>
  <c r="T11" i="4"/>
  <c r="I11" i="4"/>
  <c r="H11" i="4"/>
  <c r="N11" i="4" s="1"/>
  <c r="AE10" i="4"/>
  <c r="AD10" i="4"/>
  <c r="AA10" i="4"/>
  <c r="X10" i="4"/>
  <c r="T10" i="4"/>
  <c r="I10" i="4"/>
  <c r="H10" i="4"/>
  <c r="N10" i="4" s="1"/>
  <c r="AA9" i="4"/>
  <c r="X9" i="4"/>
  <c r="T9" i="4"/>
  <c r="AA8" i="4"/>
  <c r="X8" i="4"/>
  <c r="T8" i="4"/>
  <c r="K8" i="4"/>
  <c r="H8" i="4"/>
  <c r="AE7" i="4"/>
  <c r="AE8" i="4" s="1"/>
  <c r="AD7" i="4"/>
  <c r="AA7" i="4"/>
  <c r="X7" i="4"/>
  <c r="T7" i="4"/>
  <c r="H7" i="4"/>
  <c r="AA6" i="4"/>
  <c r="X6" i="4"/>
  <c r="T6" i="4"/>
  <c r="R6" i="4"/>
  <c r="H6" i="4"/>
  <c r="AE5" i="4"/>
  <c r="S6" i="4" s="1"/>
  <c r="AD5" i="4"/>
  <c r="AA5" i="4"/>
  <c r="X5" i="4"/>
  <c r="T5" i="4"/>
  <c r="H5" i="4"/>
  <c r="AA4" i="4"/>
  <c r="X4" i="4"/>
  <c r="T4" i="4"/>
  <c r="I4" i="4"/>
  <c r="H4" i="4"/>
  <c r="N4" i="4" s="1"/>
  <c r="AA3" i="4"/>
  <c r="X3" i="4"/>
  <c r="T3" i="4"/>
  <c r="X2" i="4"/>
  <c r="T2" i="4"/>
  <c r="F2" i="4"/>
  <c r="I29" i="4" s="1"/>
  <c r="E2" i="4"/>
  <c r="H28" i="4" s="1"/>
  <c r="N28" i="4" s="1"/>
  <c r="N28" i="8" l="1"/>
  <c r="V2" i="4"/>
  <c r="V2" i="5"/>
  <c r="AE4" i="5"/>
  <c r="N22" i="5"/>
  <c r="H4" i="5"/>
  <c r="H10" i="5"/>
  <c r="I4" i="5"/>
  <c r="H5" i="5"/>
  <c r="N5" i="5" s="1"/>
  <c r="H6" i="5"/>
  <c r="H7" i="5"/>
  <c r="H8" i="5"/>
  <c r="N8" i="5" s="1"/>
  <c r="I10" i="5"/>
  <c r="I11" i="5"/>
  <c r="H15" i="5"/>
  <c r="H19" i="5"/>
  <c r="H23" i="5"/>
  <c r="H27" i="5"/>
  <c r="H31" i="5"/>
  <c r="N31" i="5" s="1"/>
  <c r="H11" i="5"/>
  <c r="N11" i="5" s="1"/>
  <c r="H3" i="5"/>
  <c r="N3" i="5" s="1"/>
  <c r="I5" i="5"/>
  <c r="I6" i="5"/>
  <c r="I7" i="5"/>
  <c r="I8" i="5"/>
  <c r="H9" i="5"/>
  <c r="N9" i="5" s="1"/>
  <c r="I15" i="5"/>
  <c r="I19" i="5"/>
  <c r="I23" i="5"/>
  <c r="I27" i="5"/>
  <c r="I31" i="5"/>
  <c r="H26" i="5"/>
  <c r="H30" i="5"/>
  <c r="N30" i="5" s="1"/>
  <c r="I14" i="5"/>
  <c r="I18" i="5"/>
  <c r="I22" i="5"/>
  <c r="I26" i="5"/>
  <c r="I30" i="5"/>
  <c r="H14" i="5"/>
  <c r="H2" i="5"/>
  <c r="H13" i="5"/>
  <c r="N13" i="5" s="1"/>
  <c r="H17" i="5"/>
  <c r="H21" i="5"/>
  <c r="N21" i="5" s="1"/>
  <c r="H25" i="5"/>
  <c r="N25" i="5" s="1"/>
  <c r="H29" i="5"/>
  <c r="N29" i="5" s="1"/>
  <c r="H18" i="5"/>
  <c r="I2" i="5"/>
  <c r="I13" i="5"/>
  <c r="I17" i="5"/>
  <c r="I21" i="5"/>
  <c r="I25" i="5"/>
  <c r="N6" i="4"/>
  <c r="AE4" i="4"/>
  <c r="N31" i="4"/>
  <c r="N27" i="4"/>
  <c r="N7" i="4"/>
  <c r="H3" i="4"/>
  <c r="I5" i="4"/>
  <c r="N5" i="4" s="1"/>
  <c r="I6" i="4"/>
  <c r="I7" i="4"/>
  <c r="I8" i="4"/>
  <c r="N8" i="4" s="1"/>
  <c r="H9" i="4"/>
  <c r="N9" i="4" s="1"/>
  <c r="I15" i="4"/>
  <c r="N15" i="4" s="1"/>
  <c r="I19" i="4"/>
  <c r="N19" i="4" s="1"/>
  <c r="I23" i="4"/>
  <c r="N23" i="4" s="1"/>
  <c r="I27" i="4"/>
  <c r="I31" i="4"/>
  <c r="I3" i="4"/>
  <c r="I9" i="4"/>
  <c r="H14" i="4"/>
  <c r="N14" i="4" s="1"/>
  <c r="H18" i="4"/>
  <c r="N18" i="4" s="1"/>
  <c r="H22" i="4"/>
  <c r="H26" i="4"/>
  <c r="H30" i="4"/>
  <c r="I14" i="4"/>
  <c r="I18" i="4"/>
  <c r="I22" i="4"/>
  <c r="I26" i="4"/>
  <c r="I30" i="4"/>
  <c r="H2" i="4"/>
  <c r="H13" i="4"/>
  <c r="H17" i="4"/>
  <c r="N17" i="4" s="1"/>
  <c r="H21" i="4"/>
  <c r="H25" i="4"/>
  <c r="N25" i="4" s="1"/>
  <c r="H29" i="4"/>
  <c r="N29" i="4" s="1"/>
  <c r="I2" i="4"/>
  <c r="I13" i="4"/>
  <c r="I17" i="4"/>
  <c r="I21" i="4"/>
  <c r="I25" i="4"/>
  <c r="H12" i="4"/>
  <c r="N12" i="4" s="1"/>
  <c r="H16" i="4"/>
  <c r="N16" i="4" s="1"/>
  <c r="H20" i="4"/>
  <c r="N20" i="4" s="1"/>
  <c r="H24" i="4"/>
  <c r="N24" i="4" s="1"/>
  <c r="N7" i="5" l="1"/>
  <c r="N17" i="5"/>
  <c r="N27" i="5"/>
  <c r="N6" i="5"/>
  <c r="N2" i="5"/>
  <c r="P2" i="5" a="1"/>
  <c r="N26" i="5"/>
  <c r="N14" i="5"/>
  <c r="N15" i="5"/>
  <c r="N10" i="5"/>
  <c r="N23" i="5"/>
  <c r="N19" i="5"/>
  <c r="N18" i="5"/>
  <c r="N4" i="5"/>
  <c r="N21" i="4"/>
  <c r="N30" i="4"/>
  <c r="N13" i="4"/>
  <c r="N26" i="4"/>
  <c r="N3" i="4"/>
  <c r="N22" i="4"/>
  <c r="L8" i="5" l="1"/>
  <c r="P31" i="5"/>
  <c r="P23" i="5"/>
  <c r="P15" i="5"/>
  <c r="P7" i="5"/>
  <c r="P20" i="5"/>
  <c r="P12" i="5"/>
  <c r="P4" i="5"/>
  <c r="P16" i="5"/>
  <c r="P30" i="5"/>
  <c r="P22" i="5"/>
  <c r="P14" i="5"/>
  <c r="P6" i="5"/>
  <c r="P24" i="5"/>
  <c r="P8" i="5"/>
  <c r="P29" i="5"/>
  <c r="P21" i="5"/>
  <c r="P13" i="5"/>
  <c r="P5" i="5"/>
  <c r="P28" i="5"/>
  <c r="P27" i="5"/>
  <c r="P19" i="5"/>
  <c r="P11" i="5"/>
  <c r="P3" i="5"/>
  <c r="P26" i="5"/>
  <c r="P18" i="5"/>
  <c r="P10" i="5"/>
  <c r="P2" i="5"/>
  <c r="P25" i="5"/>
  <c r="P17" i="5"/>
  <c r="P9" i="5"/>
  <c r="L8" i="4"/>
</calcChain>
</file>

<file path=xl/sharedStrings.xml><?xml version="1.0" encoding="utf-8"?>
<sst xmlns="http://schemas.openxmlformats.org/spreadsheetml/2006/main" count="136" uniqueCount="85">
  <si>
    <t>ad</t>
  </si>
  <si>
    <t>pop</t>
  </si>
  <si>
    <t>z1</t>
  </si>
  <si>
    <t>Line</t>
  </si>
  <si>
    <t>Dist</t>
  </si>
  <si>
    <t>x</t>
  </si>
  <si>
    <t>y</t>
  </si>
  <si>
    <t>Any Point</t>
  </si>
  <si>
    <t>badLinex</t>
  </si>
  <si>
    <t>badLiney</t>
  </si>
  <si>
    <t>pop-centered</t>
  </si>
  <si>
    <t>ad-centered</t>
  </si>
  <si>
    <t>phi 2</t>
  </si>
  <si>
    <t>phi 1</t>
  </si>
  <si>
    <t>Slope</t>
  </si>
  <si>
    <t>Intercept</t>
  </si>
  <si>
    <t>mean ad</t>
  </si>
  <si>
    <t>mean pop</t>
  </si>
  <si>
    <t>norm Phi</t>
  </si>
  <si>
    <t>var-z1</t>
  </si>
  <si>
    <t>sum dist</t>
  </si>
  <si>
    <t>orthogonal</t>
  </si>
  <si>
    <t>Miscl Points:</t>
  </si>
  <si>
    <t xml:space="preserve">Recall that the distance between a point (x, y) </t>
  </si>
  <si>
    <t>and a line y = mx+b is abs(mx-y+b)/sqrt(m^2+1)</t>
  </si>
  <si>
    <t>Make phi1phi2 1's</t>
  </si>
  <si>
    <t>Show Solver Solution</t>
  </si>
  <si>
    <t>Solve</t>
  </si>
  <si>
    <t>Where did the line come from?</t>
  </si>
  <si>
    <t>On sheet PCAMaxVar…</t>
  </si>
  <si>
    <t>Explain columns R through X</t>
  </si>
  <si>
    <t>Explain columns out to P</t>
  </si>
  <si>
    <t>Make slopeintercept 1's Observe line disappears</t>
  </si>
  <si>
    <t>On sheet PCAMinDist…alternative way to think about PCs - minimize orthogonal distances to a line</t>
  </si>
  <si>
    <t>What are the z-values - the principal component "scores"</t>
  </si>
  <si>
    <t>Click "Show Projection" option button</t>
  </si>
  <si>
    <t>They are the projections of the individual points onto the principa;l component loadings (as the matrix expression of z1 suggests).</t>
  </si>
  <si>
    <t>Explanation</t>
  </si>
  <si>
    <t>the first principal component - the principal eigenvector</t>
  </si>
  <si>
    <t>Talk about badline - poor choice to maximize variance</t>
  </si>
  <si>
    <t>Talk about badline - was poor choice to maximize variance and now also not close to data cloud</t>
  </si>
  <si>
    <t>Resulting line minimizes distances</t>
  </si>
  <si>
    <r>
      <t>z1=(X</t>
    </r>
    <r>
      <rPr>
        <b/>
        <vertAlign val="subscript"/>
        <sz val="11"/>
        <color theme="1"/>
        <rFont val="Calibri"/>
        <family val="2"/>
      </rPr>
      <t>c</t>
    </r>
    <r>
      <rPr>
        <b/>
        <sz val="11"/>
        <color theme="1"/>
        <rFont val="Calibri"/>
        <family val="2"/>
        <scheme val="minor"/>
      </rPr>
      <t>Phi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)</t>
    </r>
  </si>
  <si>
    <t>popcent</t>
  </si>
  <si>
    <t>adcent</t>
  </si>
  <si>
    <t>popscaled</t>
  </si>
  <si>
    <t>adscaled</t>
  </si>
  <si>
    <t>Mean pop</t>
  </si>
  <si>
    <t>StDev pop</t>
  </si>
  <si>
    <t>Mean ad</t>
  </si>
  <si>
    <t>m'</t>
  </si>
  <si>
    <t>StDev ad</t>
  </si>
  <si>
    <t>b'</t>
  </si>
  <si>
    <t>Good Line Points</t>
  </si>
  <si>
    <t>princeigen</t>
  </si>
  <si>
    <t>L2 Norm</t>
  </si>
  <si>
    <t>SumVar</t>
  </si>
  <si>
    <t>Bad Line Points</t>
  </si>
  <si>
    <t>t(u)Su</t>
  </si>
  <si>
    <t>SumDist</t>
  </si>
  <si>
    <t>Recall that the distance between a point (x, y) and a line y = mx+b is abs(mx-y+b)/sqrt(m^2+1)</t>
  </si>
  <si>
    <t>u</t>
  </si>
  <si>
    <t xml:space="preserve">Cols B, C, D:  </t>
  </si>
  <si>
    <t>Data and expression 6.19 - find u by maximizing var of col D in N22 s.t. L2 norm(u)&lt;=1 - no scaling but expression centers x's (same as previous sheet)</t>
  </si>
  <si>
    <t xml:space="preserve">Cols E and F:  </t>
  </si>
  <si>
    <t>Center, create covariance matrix S at left, then find u by maximizing t(u)Su at N25 where S is the covariance matrix of the centered (but not scaled) matrix x</t>
  </si>
  <si>
    <t>Transpose(u)</t>
  </si>
  <si>
    <t xml:space="preserve">Cols G and H:  </t>
  </si>
  <si>
    <t>Replace data with two columns with very different scales - solve again - observe dominance of high variance col - change formulae in N25 to point to scaled data, solve again - note difference in relative sizes of phi's</t>
  </si>
  <si>
    <t>Just for chart: scale the centered data, compute dist to line defined by m, b, find m and b my minimizing sum of distances at N28</t>
  </si>
  <si>
    <t>S: Cov Matrix of Centered Not Scaled x's</t>
  </si>
  <si>
    <t xml:space="preserve">Same as </t>
  </si>
  <si>
    <t xml:space="preserve">This workbook contains three worksheets, the first two are identical except for the solver setup, the third is </t>
  </si>
  <si>
    <t>formatted sightly differently.</t>
  </si>
  <si>
    <t>on significantly different scales.</t>
  </si>
  <si>
    <t xml:space="preserve">so by using the Solver to find the slope and the intercept of the line that minimizes the sum of the Euclidean distances </t>
  </si>
  <si>
    <t>The sheet named PCAMaxVar calculates the PCA scores and loadings of the first Principal Component by using</t>
  </si>
  <si>
    <t>centered features.</t>
  </si>
  <si>
    <t xml:space="preserve">Cols I, J, K and L:  </t>
  </si>
  <si>
    <r>
      <t xml:space="preserve">The sheet named PCAMinDist finds the the line in </t>
    </r>
    <r>
      <rPr>
        <i/>
        <sz val="16"/>
        <color theme="1"/>
        <rFont val="Calibri"/>
        <family val="2"/>
      </rPr>
      <t>p</t>
    </r>
    <r>
      <rPr>
        <sz val="16"/>
        <color theme="1"/>
        <rFont val="Calibri"/>
        <family val="2"/>
        <scheme val="minor"/>
      </rPr>
      <t xml:space="preserve">-dimensional space that is closest to the </t>
    </r>
    <r>
      <rPr>
        <i/>
        <sz val="16"/>
        <color theme="1"/>
        <rFont val="Calibri"/>
        <family val="2"/>
        <scheme val="minor"/>
      </rPr>
      <t>n</t>
    </r>
    <r>
      <rPr>
        <sz val="16"/>
        <color theme="1"/>
        <rFont val="Calibri"/>
        <family val="2"/>
        <scheme val="minor"/>
      </rPr>
      <t xml:space="preserve"> observations. It does</t>
    </r>
  </si>
  <si>
    <t xml:space="preserve">between the original features and that line. </t>
  </si>
  <si>
    <t xml:space="preserve">covariance matrix of the centered features. It also illustrates the importance of scaling features that are measured </t>
  </si>
  <si>
    <r>
      <t xml:space="preserve">The sheet named PCADemoScaled illustrated the derivation of the PCA loadings by maximizing </t>
    </r>
    <r>
      <rPr>
        <i/>
        <sz val="16"/>
        <color theme="1"/>
        <rFont val="Calibri"/>
        <family val="2"/>
        <scheme val="minor"/>
      </rPr>
      <t>φ</t>
    </r>
    <r>
      <rPr>
        <vertAlign val="superscript"/>
        <sz val="16"/>
        <color theme="1"/>
        <rFont val="Calibri"/>
        <family val="2"/>
      </rPr>
      <t>T</t>
    </r>
    <r>
      <rPr>
        <i/>
        <sz val="16"/>
        <color theme="1"/>
        <rFont val="Calibri"/>
        <family val="2"/>
        <scheme val="minor"/>
      </rPr>
      <t>Sφ</t>
    </r>
    <r>
      <rPr>
        <sz val="16"/>
        <color theme="1"/>
        <rFont val="Calibri"/>
        <family val="2"/>
        <scheme val="minor"/>
      </rPr>
      <t xml:space="preserve"> where </t>
    </r>
    <r>
      <rPr>
        <i/>
        <sz val="16"/>
        <color theme="1"/>
        <rFont val="Calibri"/>
        <family val="2"/>
        <scheme val="minor"/>
      </rPr>
      <t xml:space="preserve">S </t>
    </r>
    <r>
      <rPr>
        <sz val="16"/>
        <color theme="1"/>
        <rFont val="Calibri"/>
        <family val="2"/>
        <scheme val="minor"/>
      </rPr>
      <t xml:space="preserve">is the </t>
    </r>
  </si>
  <si>
    <t>z1Phi=Xc</t>
  </si>
  <si>
    <r>
      <t>the Solver to find the length-</t>
    </r>
    <r>
      <rPr>
        <i/>
        <sz val="16"/>
        <color theme="1"/>
        <rFont val="Calibri"/>
        <family val="2"/>
        <scheme val="minor"/>
      </rPr>
      <t>p</t>
    </r>
    <r>
      <rPr>
        <sz val="16"/>
        <color theme="1"/>
        <rFont val="Calibri"/>
        <family val="2"/>
        <scheme val="minor"/>
      </rPr>
      <t xml:space="preserve"> vector </t>
    </r>
    <r>
      <rPr>
        <i/>
        <sz val="16"/>
        <color theme="1"/>
        <rFont val="Calibri"/>
        <family val="2"/>
      </rPr>
      <t>φ</t>
    </r>
    <r>
      <rPr>
        <sz val="16"/>
        <color theme="1"/>
        <rFont val="Calibri"/>
        <family val="2"/>
        <scheme val="minor"/>
      </rPr>
      <t xml:space="preserve"> that maximizes the variance of X</t>
    </r>
    <r>
      <rPr>
        <vertAlign val="subscript"/>
        <sz val="16"/>
        <color theme="1"/>
        <rFont val="Calibri"/>
        <family val="2"/>
      </rPr>
      <t>c</t>
    </r>
    <r>
      <rPr>
        <i/>
        <sz val="16"/>
        <color theme="1"/>
        <rFont val="Calibri"/>
        <family val="2"/>
      </rPr>
      <t>φ</t>
    </r>
    <r>
      <rPr>
        <vertAlign val="superscript"/>
        <sz val="16"/>
        <color theme="1"/>
        <rFont val="Calibri"/>
        <family val="2"/>
        <scheme val="minor"/>
      </rPr>
      <t>T</t>
    </r>
    <r>
      <rPr>
        <sz val="16"/>
        <color theme="1"/>
        <rFont val="Calibri"/>
        <family val="2"/>
        <scheme val="minor"/>
      </rPr>
      <t xml:space="preserve">  where X</t>
    </r>
    <r>
      <rPr>
        <vertAlign val="subscript"/>
        <sz val="16"/>
        <color theme="1"/>
        <rFont val="Calibri"/>
        <family val="2"/>
        <scheme val="minor"/>
      </rPr>
      <t>c</t>
    </r>
    <r>
      <rPr>
        <sz val="16"/>
        <color theme="1"/>
        <rFont val="Calibri"/>
        <family val="2"/>
        <scheme val="minor"/>
      </rPr>
      <t xml:space="preserve"> is the feature space with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</si>
</sst>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bscript"/>
      <sz val="16"/>
      <color theme="1"/>
      <name val="Calibri"/>
      <family val="2"/>
    </font>
    <font>
      <vertAlign val="superscript"/>
      <sz val="16"/>
      <color theme="1"/>
      <name val="Calibri"/>
      <family val="2"/>
      <scheme val="minor"/>
    </font>
    <font>
      <vertAlign val="subscript"/>
      <sz val="16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perscript"/>
      <sz val="16"/>
      <color theme="1"/>
      <name val="Calibri"/>
      <family val="2"/>
    </font>
    <font>
      <i/>
      <sz val="16"/>
      <color theme="1"/>
      <name val="Calibri"/>
      <family val="2"/>
    </font>
    <font>
      <i/>
      <sz val="16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FFFF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3">
    <xf numFmtId="0" fontId="0" fillId="0" borderId="0" xfId="0"/>
    <xf numFmtId="0" fontId="0" fillId="33" borderId="0" xfId="0" applyFill="1"/>
    <xf numFmtId="0" fontId="0" fillId="0" borderId="0" xfId="0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/>
    </xf>
    <xf numFmtId="0" fontId="18" fillId="34" borderId="10" xfId="0" applyFont="1" applyFill="1" applyBorder="1"/>
    <xf numFmtId="0" fontId="19" fillId="0" borderId="0" xfId="0" applyFont="1"/>
    <xf numFmtId="0" fontId="18" fillId="34" borderId="10" xfId="0" applyFont="1" applyFill="1" applyBorder="1" applyAlignment="1">
      <alignment horizontal="center"/>
    </xf>
    <xf numFmtId="0" fontId="17" fillId="0" borderId="0" xfId="0" applyFont="1"/>
    <xf numFmtId="0" fontId="16" fillId="0" borderId="11" xfId="0" applyFont="1" applyBorder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35" borderId="13" xfId="0" applyFont="1" applyFill="1" applyBorder="1" applyAlignment="1">
      <alignment horizontal="center"/>
    </xf>
    <xf numFmtId="0" fontId="0" fillId="0" borderId="14" xfId="0" applyBorder="1"/>
    <xf numFmtId="0" fontId="0" fillId="0" borderId="14" xfId="0" applyBorder="1" applyAlignment="1">
      <alignment horizontal="center"/>
    </xf>
    <xf numFmtId="0" fontId="0" fillId="0" borderId="13" xfId="0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33" borderId="0" xfId="0" applyFill="1" applyAlignment="1">
      <alignment horizontal="center"/>
    </xf>
    <xf numFmtId="0" fontId="0" fillId="0" borderId="16" xfId="0" applyBorder="1"/>
    <xf numFmtId="0" fontId="0" fillId="33" borderId="15" xfId="0" applyFill="1" applyBorder="1"/>
    <xf numFmtId="0" fontId="0" fillId="0" borderId="16" xfId="0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25" fillId="0" borderId="12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wrapText="1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PCAMaxVar!$C$1</c:f>
              <c:strCache>
                <c:ptCount val="1"/>
                <c:pt idx="0">
                  <c:v>ad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PCAMaxVar!$B$2:$B$31</c:f>
              <c:numCache>
                <c:formatCode>General</c:formatCode>
                <c:ptCount val="30"/>
                <c:pt idx="0">
                  <c:v>31.280299760875302</c:v>
                </c:pt>
                <c:pt idx="1">
                  <c:v>41.960531487646797</c:v>
                </c:pt>
                <c:pt idx="2">
                  <c:v>46.7670060372349</c:v>
                </c:pt>
                <c:pt idx="3">
                  <c:v>31.390699227039502</c:v>
                </c:pt>
                <c:pt idx="4">
                  <c:v>35.522478207643999</c:v>
                </c:pt>
                <c:pt idx="5">
                  <c:v>48.1993472334714</c:v>
                </c:pt>
                <c:pt idx="6">
                  <c:v>23.188412227884399</c:v>
                </c:pt>
                <c:pt idx="7">
                  <c:v>31.720551292532502</c:v>
                </c:pt>
                <c:pt idx="8">
                  <c:v>45.0325495672149</c:v>
                </c:pt>
                <c:pt idx="9">
                  <c:v>40.026853679818799</c:v>
                </c:pt>
                <c:pt idx="10">
                  <c:v>24.2797261933102</c:v>
                </c:pt>
                <c:pt idx="11">
                  <c:v>44.550326688238101</c:v>
                </c:pt>
                <c:pt idx="12">
                  <c:v>43.459858713349199</c:v>
                </c:pt>
                <c:pt idx="13">
                  <c:v>41.862174560330502</c:v>
                </c:pt>
                <c:pt idx="14">
                  <c:v>38.265701987689198</c:v>
                </c:pt>
                <c:pt idx="15">
                  <c:v>19.194427779355799</c:v>
                </c:pt>
                <c:pt idx="16">
                  <c:v>10.199999999999999</c:v>
                </c:pt>
                <c:pt idx="17">
                  <c:v>42.194840103612997</c:v>
                </c:pt>
                <c:pt idx="18">
                  <c:v>44.643137271610897</c:v>
                </c:pt>
                <c:pt idx="19">
                  <c:v>55.615473273795601</c:v>
                </c:pt>
                <c:pt idx="20">
                  <c:v>42.361100497280198</c:v>
                </c:pt>
                <c:pt idx="21">
                  <c:v>42.085154843567501</c:v>
                </c:pt>
                <c:pt idx="22">
                  <c:v>42.650011032040297</c:v>
                </c:pt>
                <c:pt idx="23">
                  <c:v>40.830758782226198</c:v>
                </c:pt>
                <c:pt idx="24">
                  <c:v>61.270687129238297</c:v>
                </c:pt>
                <c:pt idx="25">
                  <c:v>31.984896693862002</c:v>
                </c:pt>
                <c:pt idx="26">
                  <c:v>36.783854855923899</c:v>
                </c:pt>
                <c:pt idx="27">
                  <c:v>30.1570898861812</c:v>
                </c:pt>
                <c:pt idx="28">
                  <c:v>21.9632594412694</c:v>
                </c:pt>
                <c:pt idx="29">
                  <c:v>23.727993551705101</c:v>
                </c:pt>
              </c:numCache>
            </c:numRef>
          </c:xVal>
          <c:yVal>
            <c:numRef>
              <c:f>PCAMaxVar!$C$2:$C$31</c:f>
              <c:numCache>
                <c:formatCode>General</c:formatCode>
                <c:ptCount val="30"/>
                <c:pt idx="0">
                  <c:v>21.3677645480496</c:v>
                </c:pt>
                <c:pt idx="1">
                  <c:v>25.485458828518301</c:v>
                </c:pt>
                <c:pt idx="2">
                  <c:v>26.945025046737701</c:v>
                </c:pt>
                <c:pt idx="3">
                  <c:v>20.0803514320312</c:v>
                </c:pt>
                <c:pt idx="4">
                  <c:v>22.2011133939133</c:v>
                </c:pt>
                <c:pt idx="5">
                  <c:v>28.897104437935699</c:v>
                </c:pt>
                <c:pt idx="6">
                  <c:v>15.727118493768799</c:v>
                </c:pt>
                <c:pt idx="7">
                  <c:v>22.791878712710901</c:v>
                </c:pt>
                <c:pt idx="8">
                  <c:v>24.647522137499202</c:v>
                </c:pt>
                <c:pt idx="9">
                  <c:v>24.280423759941598</c:v>
                </c:pt>
                <c:pt idx="10">
                  <c:v>13.094034569563499</c:v>
                </c:pt>
                <c:pt idx="11">
                  <c:v>26.121780502834401</c:v>
                </c:pt>
                <c:pt idx="12">
                  <c:v>24.701866565856498</c:v>
                </c:pt>
                <c:pt idx="13">
                  <c:v>23.927509195484799</c:v>
                </c:pt>
                <c:pt idx="14">
                  <c:v>21.182513904366399</c:v>
                </c:pt>
                <c:pt idx="15">
                  <c:v>13.3364601859984</c:v>
                </c:pt>
                <c:pt idx="16">
                  <c:v>10.3099031351238</c:v>
                </c:pt>
                <c:pt idx="17">
                  <c:v>24.842921703187301</c:v>
                </c:pt>
                <c:pt idx="18">
                  <c:v>26.707284124322399</c:v>
                </c:pt>
                <c:pt idx="19">
                  <c:v>30.194325410381801</c:v>
                </c:pt>
                <c:pt idx="20">
                  <c:v>23.334911220678901</c:v>
                </c:pt>
                <c:pt idx="21">
                  <c:v>23.478168817882501</c:v>
                </c:pt>
                <c:pt idx="22">
                  <c:v>23.919278141521001</c:v>
                </c:pt>
                <c:pt idx="23">
                  <c:v>21.8384074015636</c:v>
                </c:pt>
                <c:pt idx="24">
                  <c:v>35.238949932839503</c:v>
                </c:pt>
                <c:pt idx="25">
                  <c:v>18.547593277600502</c:v>
                </c:pt>
                <c:pt idx="26">
                  <c:v>21.414010884538701</c:v>
                </c:pt>
                <c:pt idx="27">
                  <c:v>18.018244362032899</c:v>
                </c:pt>
                <c:pt idx="28">
                  <c:v>13.745487042508101</c:v>
                </c:pt>
                <c:pt idx="29">
                  <c:v>14.707475020029401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A2-4275-A48C-298BCD0474E5}"/>
            </c:ext>
          </c:extLst>
        </c:ser>
        <c:ser>
          <c:idx val="1"/>
          <c:order val="1"/>
          <c:tx>
            <c:v>Principal Component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PCAMaxVar!$B$2:$B$31</c:f>
              <c:numCache>
                <c:formatCode>General</c:formatCode>
                <c:ptCount val="30"/>
                <c:pt idx="0">
                  <c:v>31.280299760875302</c:v>
                </c:pt>
                <c:pt idx="1">
                  <c:v>41.960531487646797</c:v>
                </c:pt>
                <c:pt idx="2">
                  <c:v>46.7670060372349</c:v>
                </c:pt>
                <c:pt idx="3">
                  <c:v>31.390699227039502</c:v>
                </c:pt>
                <c:pt idx="4">
                  <c:v>35.522478207643999</c:v>
                </c:pt>
                <c:pt idx="5">
                  <c:v>48.1993472334714</c:v>
                </c:pt>
                <c:pt idx="6">
                  <c:v>23.188412227884399</c:v>
                </c:pt>
                <c:pt idx="7">
                  <c:v>31.720551292532502</c:v>
                </c:pt>
                <c:pt idx="8">
                  <c:v>45.0325495672149</c:v>
                </c:pt>
                <c:pt idx="9">
                  <c:v>40.026853679818799</c:v>
                </c:pt>
                <c:pt idx="10">
                  <c:v>24.2797261933102</c:v>
                </c:pt>
                <c:pt idx="11">
                  <c:v>44.550326688238101</c:v>
                </c:pt>
                <c:pt idx="12">
                  <c:v>43.459858713349199</c:v>
                </c:pt>
                <c:pt idx="13">
                  <c:v>41.862174560330502</c:v>
                </c:pt>
                <c:pt idx="14">
                  <c:v>38.265701987689198</c:v>
                </c:pt>
                <c:pt idx="15">
                  <c:v>19.194427779355799</c:v>
                </c:pt>
                <c:pt idx="16">
                  <c:v>10.199999999999999</c:v>
                </c:pt>
                <c:pt idx="17">
                  <c:v>42.194840103612997</c:v>
                </c:pt>
                <c:pt idx="18">
                  <c:v>44.643137271610897</c:v>
                </c:pt>
                <c:pt idx="19">
                  <c:v>55.615473273795601</c:v>
                </c:pt>
                <c:pt idx="20">
                  <c:v>42.361100497280198</c:v>
                </c:pt>
                <c:pt idx="21">
                  <c:v>42.085154843567501</c:v>
                </c:pt>
                <c:pt idx="22">
                  <c:v>42.650011032040297</c:v>
                </c:pt>
                <c:pt idx="23">
                  <c:v>40.830758782226198</c:v>
                </c:pt>
                <c:pt idx="24">
                  <c:v>61.270687129238297</c:v>
                </c:pt>
                <c:pt idx="25">
                  <c:v>31.984896693862002</c:v>
                </c:pt>
                <c:pt idx="26">
                  <c:v>36.783854855923899</c:v>
                </c:pt>
                <c:pt idx="27">
                  <c:v>30.1570898861812</c:v>
                </c:pt>
                <c:pt idx="28">
                  <c:v>21.9632594412694</c:v>
                </c:pt>
                <c:pt idx="29">
                  <c:v>23.727993551705101</c:v>
                </c:pt>
              </c:numCache>
            </c:numRef>
          </c:xVal>
          <c:yVal>
            <c:numRef>
              <c:f>PCAMaxVar!$X$2:$X$31</c:f>
              <c:numCache>
                <c:formatCode>General</c:formatCode>
                <c:ptCount val="30"/>
                <c:pt idx="0">
                  <c:v>18.691237401043431</c:v>
                </c:pt>
                <c:pt idx="1">
                  <c:v>24.324648515992173</c:v>
                </c:pt>
                <c:pt idx="2">
                  <c:v>26.859878822231313</c:v>
                </c:pt>
                <c:pt idx="3">
                  <c:v>18.749468869768485</c:v>
                </c:pt>
                <c:pt idx="4">
                  <c:v>20.928823234852565</c:v>
                </c:pt>
                <c:pt idx="5">
                  <c:v>27.615383667229356</c:v>
                </c:pt>
                <c:pt idx="6">
                  <c:v>14.423078213541805</c:v>
                </c:pt>
                <c:pt idx="7">
                  <c:v>18.923453137111604</c:v>
                </c:pt>
                <c:pt idx="8">
                  <c:v>25.945019799827026</c:v>
                </c:pt>
                <c:pt idx="9">
                  <c:v>23.30470790664728</c:v>
                </c:pt>
                <c:pt idx="10">
                  <c:v>14.998704321664359</c:v>
                </c:pt>
                <c:pt idx="11">
                  <c:v>25.690665793677418</c:v>
                </c:pt>
                <c:pt idx="12">
                  <c:v>25.115485912997826</c:v>
                </c:pt>
                <c:pt idx="13">
                  <c:v>24.272769022948317</c:v>
                </c:pt>
                <c:pt idx="14">
                  <c:v>22.37576818217627</c:v>
                </c:pt>
                <c:pt idx="15">
                  <c:v>12.316405159915577</c:v>
                </c:pt>
                <c:pt idx="16">
                  <c:v>7.5721907345097144</c:v>
                </c:pt>
                <c:pt idx="17">
                  <c:v>24.448237291524411</c:v>
                </c:pt>
                <c:pt idx="18">
                  <c:v>25.739619803790006</c:v>
                </c:pt>
                <c:pt idx="19">
                  <c:v>31.527104679864365</c:v>
                </c:pt>
                <c:pt idx="20">
                  <c:v>24.535933249217241</c:v>
                </c:pt>
                <c:pt idx="21">
                  <c:v>24.390382539034587</c:v>
                </c:pt>
                <c:pt idx="22">
                  <c:v>24.688322435087024</c:v>
                </c:pt>
                <c:pt idx="23">
                  <c:v>23.728736902938998</c:v>
                </c:pt>
                <c:pt idx="24">
                  <c:v>34.510012298882224</c:v>
                </c:pt>
                <c:pt idx="25">
                  <c:v>19.062885160697981</c:v>
                </c:pt>
                <c:pt idx="26">
                  <c:v>21.59415086185011</c:v>
                </c:pt>
                <c:pt idx="27">
                  <c:v>18.098787428571281</c:v>
                </c:pt>
                <c:pt idx="28">
                  <c:v>13.776857279184449</c:v>
                </c:pt>
                <c:pt idx="29">
                  <c:v>14.707686591411633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A2-4275-A48C-298BCD0474E5}"/>
            </c:ext>
          </c:extLst>
        </c:ser>
        <c:ser>
          <c:idx val="2"/>
          <c:order val="2"/>
          <c:tx>
            <c:v>Projection</c:v>
          </c:tx>
          <c:spPr>
            <a:ln w="25400" cap="rnd">
              <a:solidFill>
                <a:schemeClr val="tx1"/>
              </a:solidFill>
              <a:prstDash val="sysDash"/>
              <a:round/>
              <a:headEnd type="triangle"/>
              <a:tailEnd type="none"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PCAMaxVar!$AD$4:$AD$5</c:f>
              <c:numCache>
                <c:formatCode>General</c:formatCode>
                <c:ptCount val="2"/>
                <c:pt idx="0">
                  <c:v>33.22</c:v>
                </c:pt>
                <c:pt idx="1">
                  <c:v>31.720551292532502</c:v>
                </c:pt>
              </c:numCache>
            </c:numRef>
          </c:xVal>
          <c:yVal>
            <c:numRef>
              <c:f>PCAMaxVar!$AE$4:$AE$5</c:f>
              <c:numCache>
                <c:formatCode>General</c:formatCode>
                <c:ptCount val="2"/>
                <c:pt idx="0">
                  <c:v>19.94911447424353</c:v>
                </c:pt>
                <c:pt idx="1">
                  <c:v>22.791878712710901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A2-4275-A48C-298BCD0474E5}"/>
            </c:ext>
          </c:extLst>
        </c:ser>
        <c:ser>
          <c:idx val="3"/>
          <c:order val="3"/>
          <c:tx>
            <c:v>badLine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PCAMaxVar!$Z$2:$Z$33</c:f>
              <c:numCache>
                <c:formatCode>General</c:formatCode>
                <c:ptCount val="32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35</c:v>
                </c:pt>
                <c:pt idx="18">
                  <c:v>35</c:v>
                </c:pt>
                <c:pt idx="19">
                  <c:v>35</c:v>
                </c:pt>
                <c:pt idx="20">
                  <c:v>35</c:v>
                </c:pt>
                <c:pt idx="21">
                  <c:v>35</c:v>
                </c:pt>
                <c:pt idx="22">
                  <c:v>35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35</c:v>
                </c:pt>
              </c:numCache>
            </c:numRef>
          </c:xVal>
          <c:yVal>
            <c:numRef>
              <c:f>PCAMaxVar!$AA$2:$AA$33</c:f>
              <c:numCache>
                <c:formatCode>General</c:formatCode>
                <c:ptCount val="32"/>
                <c:pt idx="0">
                  <c:v>40</c:v>
                </c:pt>
                <c:pt idx="1">
                  <c:v>21.3677645480496</c:v>
                </c:pt>
                <c:pt idx="2">
                  <c:v>25.485458828518301</c:v>
                </c:pt>
                <c:pt idx="3">
                  <c:v>26.945025046737701</c:v>
                </c:pt>
                <c:pt idx="4">
                  <c:v>20.0803514320312</c:v>
                </c:pt>
                <c:pt idx="5">
                  <c:v>22.2011133939133</c:v>
                </c:pt>
                <c:pt idx="6">
                  <c:v>28.897104437935699</c:v>
                </c:pt>
                <c:pt idx="7">
                  <c:v>15.727118493768799</c:v>
                </c:pt>
                <c:pt idx="8">
                  <c:v>22.791878712710901</c:v>
                </c:pt>
                <c:pt idx="9">
                  <c:v>24.647522137499202</c:v>
                </c:pt>
                <c:pt idx="10">
                  <c:v>24.280423759941598</c:v>
                </c:pt>
                <c:pt idx="11">
                  <c:v>13.094034569563499</c:v>
                </c:pt>
                <c:pt idx="12">
                  <c:v>26.121780502834401</c:v>
                </c:pt>
                <c:pt idx="13">
                  <c:v>24.701866565856498</c:v>
                </c:pt>
                <c:pt idx="14">
                  <c:v>23.927509195484799</c:v>
                </c:pt>
                <c:pt idx="15">
                  <c:v>21.182513904366399</c:v>
                </c:pt>
                <c:pt idx="16">
                  <c:v>13.3364601859984</c:v>
                </c:pt>
                <c:pt idx="17">
                  <c:v>10.3099031351238</c:v>
                </c:pt>
                <c:pt idx="18">
                  <c:v>24.842921703187301</c:v>
                </c:pt>
                <c:pt idx="19">
                  <c:v>26.707284124322399</c:v>
                </c:pt>
                <c:pt idx="20">
                  <c:v>30.194325410381801</c:v>
                </c:pt>
                <c:pt idx="21">
                  <c:v>23.334911220678901</c:v>
                </c:pt>
                <c:pt idx="22">
                  <c:v>23.478168817882501</c:v>
                </c:pt>
                <c:pt idx="23">
                  <c:v>23.919278141521001</c:v>
                </c:pt>
                <c:pt idx="24">
                  <c:v>21.8384074015636</c:v>
                </c:pt>
                <c:pt idx="25">
                  <c:v>35.238949932839503</c:v>
                </c:pt>
                <c:pt idx="26">
                  <c:v>18.547593277600502</c:v>
                </c:pt>
                <c:pt idx="27">
                  <c:v>21.414010884538701</c:v>
                </c:pt>
                <c:pt idx="28">
                  <c:v>18.018244362032899</c:v>
                </c:pt>
                <c:pt idx="29">
                  <c:v>13.745487042508101</c:v>
                </c:pt>
                <c:pt idx="30">
                  <c:v>14.707475020029401</c:v>
                </c:pt>
                <c:pt idx="31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A2-4275-A48C-298BCD0474E5}"/>
            </c:ext>
          </c:extLst>
        </c:ser>
        <c:ser>
          <c:idx val="4"/>
          <c:order val="4"/>
          <c:spPr>
            <a:ln w="25400" cap="rnd">
              <a:solidFill>
                <a:schemeClr val="tx1"/>
              </a:solidFill>
              <a:prstDash val="sysDot"/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PCAMaxVar!$AD$7:$AD$8</c:f>
              <c:numCache>
                <c:formatCode>General</c:formatCode>
                <c:ptCount val="2"/>
                <c:pt idx="0">
                  <c:v>10.199999999999999</c:v>
                </c:pt>
                <c:pt idx="1">
                  <c:v>35</c:v>
                </c:pt>
              </c:numCache>
            </c:numRef>
          </c:xVal>
          <c:yVal>
            <c:numRef>
              <c:f>PCAMaxVar!$AE$7:$AE$8</c:f>
              <c:numCache>
                <c:formatCode>General</c:formatCode>
                <c:ptCount val="2"/>
                <c:pt idx="0">
                  <c:v>10.3099031351238</c:v>
                </c:pt>
                <c:pt idx="1">
                  <c:v>10.3099031351238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A2-4275-A48C-298BCD0474E5}"/>
            </c:ext>
          </c:extLst>
        </c:ser>
        <c:ser>
          <c:idx val="5"/>
          <c:order val="5"/>
          <c:spPr>
            <a:ln w="25400" cap="rnd">
              <a:solidFill>
                <a:schemeClr val="tx1"/>
              </a:solidFill>
              <a:prstDash val="sysDot"/>
              <a:round/>
              <a:headEnd type="none"/>
              <a:tailEnd type="triangle"/>
            </a:ln>
            <a:effectLst/>
          </c:spPr>
          <c:marker>
            <c:symbol val="none"/>
          </c:marker>
          <c:dPt>
            <c:idx val="1"/>
            <c:marker>
              <c:symbol val="circle"/>
              <c:size val="5"/>
              <c:spPr>
                <a:solidFill>
                  <a:schemeClr val="tx1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8A2-4275-A48C-298BCD0474E5}"/>
              </c:ext>
            </c:extLst>
          </c:dPt>
          <c:xVal>
            <c:numRef>
              <c:f>PCAMaxVar!$AD$10:$AD$11</c:f>
              <c:numCache>
                <c:formatCode>General</c:formatCode>
                <c:ptCount val="2"/>
                <c:pt idx="0">
                  <c:v>61.270687129238297</c:v>
                </c:pt>
                <c:pt idx="1">
                  <c:v>35</c:v>
                </c:pt>
              </c:numCache>
            </c:numRef>
          </c:xVal>
          <c:yVal>
            <c:numRef>
              <c:f>PCAMaxVar!$AE$10:$AE$11</c:f>
              <c:numCache>
                <c:formatCode>General</c:formatCode>
                <c:ptCount val="2"/>
                <c:pt idx="0">
                  <c:v>35.238949932839503</c:v>
                </c:pt>
                <c:pt idx="1">
                  <c:v>35.238949932839503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8A2-4275-A48C-298BCD047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925455"/>
        <c:axId val="675927951"/>
      </c:scatterChart>
      <c:valAx>
        <c:axId val="675925455"/>
        <c:scaling>
          <c:orientation val="minMax"/>
          <c:max val="65"/>
          <c:min val="10"/>
        </c:scaling>
        <c:delete val="0"/>
        <c:axPos val="b"/>
        <c:title>
          <c:tx>
            <c:strRef>
              <c:f>PCAMaxVar!$B$1</c:f>
              <c:strCache>
                <c:ptCount val="1"/>
                <c:pt idx="0">
                  <c:v>pop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27951"/>
        <c:crosses val="autoZero"/>
        <c:crossBetween val="midCat"/>
      </c:valAx>
      <c:valAx>
        <c:axId val="675927951"/>
        <c:scaling>
          <c:orientation val="minMax"/>
          <c:max val="40"/>
          <c:min val="5"/>
        </c:scaling>
        <c:delete val="0"/>
        <c:axPos val="l"/>
        <c:title>
          <c:tx>
            <c:strRef>
              <c:f>PCAMaxVar!$C$1</c:f>
              <c:strCache>
                <c:ptCount val="1"/>
                <c:pt idx="0">
                  <c:v>ad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25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Projections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PCAMaxVar!$N$2:$N$31</c:f>
              <c:numCache>
                <c:formatCode>General</c:formatCode>
                <c:ptCount val="30"/>
                <c:pt idx="0">
                  <c:v>-6.4937386309207703</c:v>
                </c:pt>
                <c:pt idx="1">
                  <c:v>8.3041873763194261</c:v>
                </c:pt>
                <c:pt idx="2">
                  <c:v>14.570228144126929</c:v>
                </c:pt>
                <c:pt idx="3">
                  <c:v>-7.6707522807749697</c:v>
                </c:pt>
                <c:pt idx="4">
                  <c:v>-1.4182113382883728</c:v>
                </c:pt>
                <c:pt idx="5">
                  <c:v>17.954648731561427</c:v>
                </c:pt>
                <c:pt idx="6">
                  <c:v>-20.226272218192474</c:v>
                </c:pt>
                <c:pt idx="7">
                  <c:v>-4.6293729346022694</c:v>
                </c:pt>
                <c:pt idx="8">
                  <c:v>10.53826876486843</c:v>
                </c:pt>
                <c:pt idx="9">
                  <c:v>5.1654744999147262</c:v>
                </c:pt>
                <c:pt idx="10">
                  <c:v>-21.768042176971974</c:v>
                </c:pt>
                <c:pt idx="11">
                  <c:v>11.530304251226831</c:v>
                </c:pt>
                <c:pt idx="12">
                  <c:v>9.0199223393600256</c:v>
                </c:pt>
                <c:pt idx="13">
                  <c:v>6.6478808159696285</c:v>
                </c:pt>
                <c:pt idx="14">
                  <c:v>0.30641295220992504</c:v>
                </c:pt>
                <c:pt idx="15">
                  <c:v>-26.610914974491472</c:v>
                </c:pt>
                <c:pt idx="16">
                  <c:v>-38.631899804721868</c:v>
                </c:pt>
                <c:pt idx="17">
                  <c:v>7.8959588669546257</c:v>
                </c:pt>
                <c:pt idx="18">
                  <c:v>12.208618456087624</c:v>
                </c:pt>
                <c:pt idx="19">
                  <c:v>26.66799574433173</c:v>
                </c:pt>
                <c:pt idx="20">
                  <c:v>6.5542087781134271</c:v>
                </c:pt>
                <c:pt idx="21">
                  <c:v>6.4215207216043311</c:v>
                </c:pt>
                <c:pt idx="22">
                  <c:v>7.4274862337156264</c:v>
                </c:pt>
                <c:pt idx="23">
                  <c:v>3.5273632439441265</c:v>
                </c:pt>
                <c:pt idx="24">
                  <c:v>37.367834122232125</c:v>
                </c:pt>
                <c:pt idx="25">
                  <c:v>-8.6093129683831684</c:v>
                </c:pt>
                <c:pt idx="26">
                  <c:v>-0.94393719938307186</c:v>
                </c:pt>
                <c:pt idx="27">
                  <c:v>-10.966468691631572</c:v>
                </c:pt>
                <c:pt idx="28">
                  <c:v>-23.433056456068172</c:v>
                </c:pt>
                <c:pt idx="29">
                  <c:v>-20.706334368111172</c:v>
                </c:pt>
              </c:numCache>
            </c:numRef>
          </c:xVal>
          <c:yVal>
            <c:numRef>
              <c:f>PCAMaxVar!$O$2:$O$31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6B-43CC-BB89-2FB58CD53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33231"/>
        <c:axId val="1932735311"/>
      </c:scatterChart>
      <c:valAx>
        <c:axId val="1932733231"/>
        <c:scaling>
          <c:orientation val="minMax"/>
          <c:max val="28"/>
          <c:min val="-3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735311"/>
        <c:crosses val="autoZero"/>
        <c:crossBetween val="midCat"/>
      </c:valAx>
      <c:valAx>
        <c:axId val="1932735311"/>
        <c:scaling>
          <c:orientation val="minMax"/>
          <c:max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932733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PCAMinDist!$C$1</c:f>
              <c:strCache>
                <c:ptCount val="1"/>
                <c:pt idx="0">
                  <c:v>ad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PCAMinDist!$B$2:$B$31</c:f>
              <c:numCache>
                <c:formatCode>General</c:formatCode>
                <c:ptCount val="30"/>
                <c:pt idx="0">
                  <c:v>31.280299760875302</c:v>
                </c:pt>
                <c:pt idx="1">
                  <c:v>41.960531487646797</c:v>
                </c:pt>
                <c:pt idx="2">
                  <c:v>46.7670060372349</c:v>
                </c:pt>
                <c:pt idx="3">
                  <c:v>31.390699227039502</c:v>
                </c:pt>
                <c:pt idx="4">
                  <c:v>35.522478207643999</c:v>
                </c:pt>
                <c:pt idx="5">
                  <c:v>48.1993472334714</c:v>
                </c:pt>
                <c:pt idx="6">
                  <c:v>23.188412227884399</c:v>
                </c:pt>
                <c:pt idx="7">
                  <c:v>31.720551292532502</c:v>
                </c:pt>
                <c:pt idx="8">
                  <c:v>45.0325495672149</c:v>
                </c:pt>
                <c:pt idx="9">
                  <c:v>40.026853679818799</c:v>
                </c:pt>
                <c:pt idx="10">
                  <c:v>24.2797261933102</c:v>
                </c:pt>
                <c:pt idx="11">
                  <c:v>44.550326688238101</c:v>
                </c:pt>
                <c:pt idx="12">
                  <c:v>43.459858713349199</c:v>
                </c:pt>
                <c:pt idx="13">
                  <c:v>41.862174560330502</c:v>
                </c:pt>
                <c:pt idx="14">
                  <c:v>38.265701987689198</c:v>
                </c:pt>
                <c:pt idx="15">
                  <c:v>19.194427779355799</c:v>
                </c:pt>
                <c:pt idx="16">
                  <c:v>10.199999999999999</c:v>
                </c:pt>
                <c:pt idx="17">
                  <c:v>42.194840103612997</c:v>
                </c:pt>
                <c:pt idx="18">
                  <c:v>44.643137271610897</c:v>
                </c:pt>
                <c:pt idx="19">
                  <c:v>55.615473273795601</c:v>
                </c:pt>
                <c:pt idx="20">
                  <c:v>42.361100497280198</c:v>
                </c:pt>
                <c:pt idx="21">
                  <c:v>42.085154843567501</c:v>
                </c:pt>
                <c:pt idx="22">
                  <c:v>42.650011032040297</c:v>
                </c:pt>
                <c:pt idx="23">
                  <c:v>40.830758782226198</c:v>
                </c:pt>
                <c:pt idx="24">
                  <c:v>61.270687129238297</c:v>
                </c:pt>
                <c:pt idx="25">
                  <c:v>31.984896693862002</c:v>
                </c:pt>
                <c:pt idx="26">
                  <c:v>36.783854855923899</c:v>
                </c:pt>
                <c:pt idx="27">
                  <c:v>30.1570898861812</c:v>
                </c:pt>
                <c:pt idx="28">
                  <c:v>21.9632594412694</c:v>
                </c:pt>
                <c:pt idx="29">
                  <c:v>23.727993551705101</c:v>
                </c:pt>
              </c:numCache>
            </c:numRef>
          </c:xVal>
          <c:yVal>
            <c:numRef>
              <c:f>PCAMinDist!$C$2:$C$31</c:f>
              <c:numCache>
                <c:formatCode>General</c:formatCode>
                <c:ptCount val="30"/>
                <c:pt idx="0">
                  <c:v>21.3677645480496</c:v>
                </c:pt>
                <c:pt idx="1">
                  <c:v>25.485458828518301</c:v>
                </c:pt>
                <c:pt idx="2">
                  <c:v>26.945025046737701</c:v>
                </c:pt>
                <c:pt idx="3">
                  <c:v>20.0803514320312</c:v>
                </c:pt>
                <c:pt idx="4">
                  <c:v>22.2011133939133</c:v>
                </c:pt>
                <c:pt idx="5">
                  <c:v>28.897104437935699</c:v>
                </c:pt>
                <c:pt idx="6">
                  <c:v>15.727118493768799</c:v>
                </c:pt>
                <c:pt idx="7">
                  <c:v>22.791878712710901</c:v>
                </c:pt>
                <c:pt idx="8">
                  <c:v>24.647522137499202</c:v>
                </c:pt>
                <c:pt idx="9">
                  <c:v>24.280423759941598</c:v>
                </c:pt>
                <c:pt idx="10">
                  <c:v>13.094034569563499</c:v>
                </c:pt>
                <c:pt idx="11">
                  <c:v>26.121780502834401</c:v>
                </c:pt>
                <c:pt idx="12">
                  <c:v>24.701866565856498</c:v>
                </c:pt>
                <c:pt idx="13">
                  <c:v>23.927509195484799</c:v>
                </c:pt>
                <c:pt idx="14">
                  <c:v>21.182513904366399</c:v>
                </c:pt>
                <c:pt idx="15">
                  <c:v>13.3364601859984</c:v>
                </c:pt>
                <c:pt idx="16">
                  <c:v>10.3099031351238</c:v>
                </c:pt>
                <c:pt idx="17">
                  <c:v>24.842921703187301</c:v>
                </c:pt>
                <c:pt idx="18">
                  <c:v>26.707284124322399</c:v>
                </c:pt>
                <c:pt idx="19">
                  <c:v>30.194325410381801</c:v>
                </c:pt>
                <c:pt idx="20">
                  <c:v>23.334911220678901</c:v>
                </c:pt>
                <c:pt idx="21">
                  <c:v>23.478168817882501</c:v>
                </c:pt>
                <c:pt idx="22">
                  <c:v>23.919278141521001</c:v>
                </c:pt>
                <c:pt idx="23">
                  <c:v>21.8384074015636</c:v>
                </c:pt>
                <c:pt idx="24">
                  <c:v>35.238949932839503</c:v>
                </c:pt>
                <c:pt idx="25">
                  <c:v>18.547593277600502</c:v>
                </c:pt>
                <c:pt idx="26">
                  <c:v>21.414010884538701</c:v>
                </c:pt>
                <c:pt idx="27">
                  <c:v>18.018244362032899</c:v>
                </c:pt>
                <c:pt idx="28">
                  <c:v>13.745487042508101</c:v>
                </c:pt>
                <c:pt idx="29">
                  <c:v>14.707475020029401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1-4F04-AFD5-016102CC5D12}"/>
            </c:ext>
          </c:extLst>
        </c:ser>
        <c:ser>
          <c:idx val="1"/>
          <c:order val="1"/>
          <c:tx>
            <c:v>Principal Component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PCAMinDist!$B$2:$B$31</c:f>
              <c:numCache>
                <c:formatCode>General</c:formatCode>
                <c:ptCount val="30"/>
                <c:pt idx="0">
                  <c:v>31.280299760875302</c:v>
                </c:pt>
                <c:pt idx="1">
                  <c:v>41.960531487646797</c:v>
                </c:pt>
                <c:pt idx="2">
                  <c:v>46.7670060372349</c:v>
                </c:pt>
                <c:pt idx="3">
                  <c:v>31.390699227039502</c:v>
                </c:pt>
                <c:pt idx="4">
                  <c:v>35.522478207643999</c:v>
                </c:pt>
                <c:pt idx="5">
                  <c:v>48.1993472334714</c:v>
                </c:pt>
                <c:pt idx="6">
                  <c:v>23.188412227884399</c:v>
                </c:pt>
                <c:pt idx="7">
                  <c:v>31.720551292532502</c:v>
                </c:pt>
                <c:pt idx="8">
                  <c:v>45.0325495672149</c:v>
                </c:pt>
                <c:pt idx="9">
                  <c:v>40.026853679818799</c:v>
                </c:pt>
                <c:pt idx="10">
                  <c:v>24.2797261933102</c:v>
                </c:pt>
                <c:pt idx="11">
                  <c:v>44.550326688238101</c:v>
                </c:pt>
                <c:pt idx="12">
                  <c:v>43.459858713349199</c:v>
                </c:pt>
                <c:pt idx="13">
                  <c:v>41.862174560330502</c:v>
                </c:pt>
                <c:pt idx="14">
                  <c:v>38.265701987689198</c:v>
                </c:pt>
                <c:pt idx="15">
                  <c:v>19.194427779355799</c:v>
                </c:pt>
                <c:pt idx="16">
                  <c:v>10.199999999999999</c:v>
                </c:pt>
                <c:pt idx="17">
                  <c:v>42.194840103612997</c:v>
                </c:pt>
                <c:pt idx="18">
                  <c:v>44.643137271610897</c:v>
                </c:pt>
                <c:pt idx="19">
                  <c:v>55.615473273795601</c:v>
                </c:pt>
                <c:pt idx="20">
                  <c:v>42.361100497280198</c:v>
                </c:pt>
                <c:pt idx="21">
                  <c:v>42.085154843567501</c:v>
                </c:pt>
                <c:pt idx="22">
                  <c:v>42.650011032040297</c:v>
                </c:pt>
                <c:pt idx="23">
                  <c:v>40.830758782226198</c:v>
                </c:pt>
                <c:pt idx="24">
                  <c:v>61.270687129238297</c:v>
                </c:pt>
                <c:pt idx="25">
                  <c:v>31.984896693862002</c:v>
                </c:pt>
                <c:pt idx="26">
                  <c:v>36.783854855923899</c:v>
                </c:pt>
                <c:pt idx="27">
                  <c:v>30.1570898861812</c:v>
                </c:pt>
                <c:pt idx="28">
                  <c:v>21.9632594412694</c:v>
                </c:pt>
                <c:pt idx="29">
                  <c:v>23.727993551705101</c:v>
                </c:pt>
              </c:numCache>
            </c:numRef>
          </c:xVal>
          <c:yVal>
            <c:numRef>
              <c:f>PCAMinDist!$X$2:$X$31</c:f>
              <c:numCache>
                <c:formatCode>General</c:formatCode>
                <c:ptCount val="30"/>
                <c:pt idx="0">
                  <c:v>3228.02997608753</c:v>
                </c:pt>
                <c:pt idx="1">
                  <c:v>4296.0531487646795</c:v>
                </c:pt>
                <c:pt idx="2">
                  <c:v>4776.7006037234896</c:v>
                </c:pt>
                <c:pt idx="3">
                  <c:v>3239.0699227039499</c:v>
                </c:pt>
                <c:pt idx="4">
                  <c:v>3652.2478207643999</c:v>
                </c:pt>
                <c:pt idx="5">
                  <c:v>4919.9347233471399</c:v>
                </c:pt>
                <c:pt idx="6">
                  <c:v>2418.8412227884401</c:v>
                </c:pt>
                <c:pt idx="7">
                  <c:v>3272.05512925325</c:v>
                </c:pt>
                <c:pt idx="8">
                  <c:v>4603.2549567214901</c:v>
                </c:pt>
                <c:pt idx="9">
                  <c:v>4102.6853679818796</c:v>
                </c:pt>
                <c:pt idx="10">
                  <c:v>2527.9726193310198</c:v>
                </c:pt>
                <c:pt idx="11">
                  <c:v>4555.0326688238101</c:v>
                </c:pt>
                <c:pt idx="12">
                  <c:v>4445.9858713349195</c:v>
                </c:pt>
                <c:pt idx="13">
                  <c:v>4286.2174560330504</c:v>
                </c:pt>
                <c:pt idx="14">
                  <c:v>3926.5701987689199</c:v>
                </c:pt>
                <c:pt idx="15">
                  <c:v>2019.4427779355799</c:v>
                </c:pt>
                <c:pt idx="16">
                  <c:v>1120</c:v>
                </c:pt>
                <c:pt idx="17">
                  <c:v>4319.4840103612996</c:v>
                </c:pt>
                <c:pt idx="18">
                  <c:v>4564.3137271610894</c:v>
                </c:pt>
                <c:pt idx="19">
                  <c:v>5661.5473273795596</c:v>
                </c:pt>
                <c:pt idx="20">
                  <c:v>4336.1100497280195</c:v>
                </c:pt>
                <c:pt idx="21">
                  <c:v>4308.5154843567498</c:v>
                </c:pt>
                <c:pt idx="22">
                  <c:v>4365.0011032040293</c:v>
                </c:pt>
                <c:pt idx="23">
                  <c:v>4183.0758782226203</c:v>
                </c:pt>
                <c:pt idx="24">
                  <c:v>6227.0687129238295</c:v>
                </c:pt>
                <c:pt idx="25">
                  <c:v>3298.4896693862001</c:v>
                </c:pt>
                <c:pt idx="26">
                  <c:v>3778.3854855923901</c:v>
                </c:pt>
                <c:pt idx="27">
                  <c:v>3115.7089886181202</c:v>
                </c:pt>
                <c:pt idx="28">
                  <c:v>2296.3259441269402</c:v>
                </c:pt>
                <c:pt idx="29">
                  <c:v>2472.7993551705099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51-4F04-AFD5-016102CC5D12}"/>
            </c:ext>
          </c:extLst>
        </c:ser>
        <c:ser>
          <c:idx val="2"/>
          <c:order val="2"/>
          <c:tx>
            <c:v>Projection</c:v>
          </c:tx>
          <c:spPr>
            <a:ln w="25400" cap="rnd">
              <a:solidFill>
                <a:schemeClr val="tx1"/>
              </a:solidFill>
              <a:prstDash val="sysDash"/>
              <a:round/>
              <a:headEnd type="triangle"/>
              <a:tailEnd type="none"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PCAMinDist!$AD$4:$AD$5</c:f>
              <c:numCache>
                <c:formatCode>General</c:formatCode>
                <c:ptCount val="2"/>
                <c:pt idx="0">
                  <c:v>33.22</c:v>
                </c:pt>
                <c:pt idx="1">
                  <c:v>31.720551292532502</c:v>
                </c:pt>
              </c:numCache>
            </c:numRef>
          </c:xVal>
          <c:yVal>
            <c:numRef>
              <c:f>PCAMinDist!$AE$4:$AE$5</c:f>
              <c:numCache>
                <c:formatCode>General</c:formatCode>
                <c:ptCount val="2"/>
                <c:pt idx="0">
                  <c:v>22.776884225636227</c:v>
                </c:pt>
                <c:pt idx="1">
                  <c:v>22.791878712710901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51-4F04-AFD5-016102CC5D12}"/>
            </c:ext>
          </c:extLst>
        </c:ser>
        <c:ser>
          <c:idx val="3"/>
          <c:order val="3"/>
          <c:tx>
            <c:v>badLine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PCAMinDist!$Z$2:$Z$33</c:f>
              <c:numCache>
                <c:formatCode>General</c:formatCode>
                <c:ptCount val="32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35</c:v>
                </c:pt>
                <c:pt idx="18">
                  <c:v>35</c:v>
                </c:pt>
                <c:pt idx="19">
                  <c:v>35</c:v>
                </c:pt>
                <c:pt idx="20">
                  <c:v>35</c:v>
                </c:pt>
                <c:pt idx="21">
                  <c:v>35</c:v>
                </c:pt>
                <c:pt idx="22">
                  <c:v>35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35</c:v>
                </c:pt>
              </c:numCache>
            </c:numRef>
          </c:xVal>
          <c:yVal>
            <c:numRef>
              <c:f>PCAMinDist!$AA$2:$AA$33</c:f>
              <c:numCache>
                <c:formatCode>General</c:formatCode>
                <c:ptCount val="32"/>
                <c:pt idx="0">
                  <c:v>40</c:v>
                </c:pt>
                <c:pt idx="1">
                  <c:v>21.3677645480496</c:v>
                </c:pt>
                <c:pt idx="2">
                  <c:v>25.485458828518301</c:v>
                </c:pt>
                <c:pt idx="3">
                  <c:v>26.945025046737701</c:v>
                </c:pt>
                <c:pt idx="4">
                  <c:v>20.0803514320312</c:v>
                </c:pt>
                <c:pt idx="5">
                  <c:v>22.2011133939133</c:v>
                </c:pt>
                <c:pt idx="6">
                  <c:v>28.897104437935699</c:v>
                </c:pt>
                <c:pt idx="7">
                  <c:v>15.727118493768799</c:v>
                </c:pt>
                <c:pt idx="8">
                  <c:v>22.791878712710901</c:v>
                </c:pt>
                <c:pt idx="9">
                  <c:v>24.647522137499202</c:v>
                </c:pt>
                <c:pt idx="10">
                  <c:v>24.280423759941598</c:v>
                </c:pt>
                <c:pt idx="11">
                  <c:v>13.094034569563499</c:v>
                </c:pt>
                <c:pt idx="12">
                  <c:v>26.121780502834401</c:v>
                </c:pt>
                <c:pt idx="13">
                  <c:v>24.701866565856498</c:v>
                </c:pt>
                <c:pt idx="14">
                  <c:v>23.927509195484799</c:v>
                </c:pt>
                <c:pt idx="15">
                  <c:v>21.182513904366399</c:v>
                </c:pt>
                <c:pt idx="16">
                  <c:v>13.3364601859984</c:v>
                </c:pt>
                <c:pt idx="17">
                  <c:v>10.3099031351238</c:v>
                </c:pt>
                <c:pt idx="18">
                  <c:v>24.842921703187301</c:v>
                </c:pt>
                <c:pt idx="19">
                  <c:v>26.707284124322399</c:v>
                </c:pt>
                <c:pt idx="20">
                  <c:v>30.194325410381801</c:v>
                </c:pt>
                <c:pt idx="21">
                  <c:v>23.334911220678901</c:v>
                </c:pt>
                <c:pt idx="22">
                  <c:v>23.478168817882501</c:v>
                </c:pt>
                <c:pt idx="23">
                  <c:v>23.919278141521001</c:v>
                </c:pt>
                <c:pt idx="24">
                  <c:v>21.8384074015636</c:v>
                </c:pt>
                <c:pt idx="25">
                  <c:v>35.238949932839503</c:v>
                </c:pt>
                <c:pt idx="26">
                  <c:v>18.547593277600502</c:v>
                </c:pt>
                <c:pt idx="27">
                  <c:v>21.414010884538701</c:v>
                </c:pt>
                <c:pt idx="28">
                  <c:v>18.018244362032899</c:v>
                </c:pt>
                <c:pt idx="29">
                  <c:v>13.745487042508101</c:v>
                </c:pt>
                <c:pt idx="30">
                  <c:v>14.707475020029401</c:v>
                </c:pt>
                <c:pt idx="31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51-4F04-AFD5-016102CC5D12}"/>
            </c:ext>
          </c:extLst>
        </c:ser>
        <c:ser>
          <c:idx val="4"/>
          <c:order val="4"/>
          <c:spPr>
            <a:ln w="25400" cap="rnd">
              <a:solidFill>
                <a:schemeClr val="tx1"/>
              </a:solidFill>
              <a:prstDash val="sysDot"/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PCAMinDist!$AD$7:$AD$8</c:f>
              <c:numCache>
                <c:formatCode>General</c:formatCode>
                <c:ptCount val="2"/>
                <c:pt idx="0">
                  <c:v>10.199999999999999</c:v>
                </c:pt>
                <c:pt idx="1">
                  <c:v>35</c:v>
                </c:pt>
              </c:numCache>
            </c:numRef>
          </c:xVal>
          <c:yVal>
            <c:numRef>
              <c:f>PCAMinDist!$AE$7:$AE$8</c:f>
              <c:numCache>
                <c:formatCode>General</c:formatCode>
                <c:ptCount val="2"/>
                <c:pt idx="0">
                  <c:v>10.3099031351238</c:v>
                </c:pt>
                <c:pt idx="1">
                  <c:v>10.3099031351238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51-4F04-AFD5-016102CC5D12}"/>
            </c:ext>
          </c:extLst>
        </c:ser>
        <c:ser>
          <c:idx val="5"/>
          <c:order val="5"/>
          <c:spPr>
            <a:ln w="25400" cap="rnd">
              <a:solidFill>
                <a:schemeClr val="tx1"/>
              </a:solidFill>
              <a:prstDash val="sysDot"/>
              <a:round/>
              <a:headEnd type="none"/>
              <a:tailEnd type="triangle"/>
            </a:ln>
            <a:effectLst/>
          </c:spPr>
          <c:marker>
            <c:symbol val="none"/>
          </c:marker>
          <c:dPt>
            <c:idx val="1"/>
            <c:marker>
              <c:symbol val="circle"/>
              <c:size val="5"/>
              <c:spPr>
                <a:solidFill>
                  <a:schemeClr val="tx1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BB51-4F04-AFD5-016102CC5D12}"/>
              </c:ext>
            </c:extLst>
          </c:dPt>
          <c:xVal>
            <c:numRef>
              <c:f>PCAMinDist!$AD$10:$AD$11</c:f>
              <c:numCache>
                <c:formatCode>General</c:formatCode>
                <c:ptCount val="2"/>
                <c:pt idx="0">
                  <c:v>61.270687129238297</c:v>
                </c:pt>
                <c:pt idx="1">
                  <c:v>35</c:v>
                </c:pt>
              </c:numCache>
            </c:numRef>
          </c:xVal>
          <c:yVal>
            <c:numRef>
              <c:f>PCAMinDist!$AE$10:$AE$11</c:f>
              <c:numCache>
                <c:formatCode>General</c:formatCode>
                <c:ptCount val="2"/>
                <c:pt idx="0">
                  <c:v>35.238949932839503</c:v>
                </c:pt>
                <c:pt idx="1">
                  <c:v>35.238949932839503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B51-4F04-AFD5-016102CC5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925455"/>
        <c:axId val="675927951"/>
      </c:scatterChart>
      <c:valAx>
        <c:axId val="675925455"/>
        <c:scaling>
          <c:orientation val="minMax"/>
          <c:max val="65"/>
          <c:min val="10"/>
        </c:scaling>
        <c:delete val="0"/>
        <c:axPos val="b"/>
        <c:title>
          <c:tx>
            <c:strRef>
              <c:f>PCAMinDist!$B$1</c:f>
              <c:strCache>
                <c:ptCount val="1"/>
                <c:pt idx="0">
                  <c:v>pop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27951"/>
        <c:crosses val="autoZero"/>
        <c:crossBetween val="midCat"/>
      </c:valAx>
      <c:valAx>
        <c:axId val="675927951"/>
        <c:scaling>
          <c:orientation val="minMax"/>
          <c:max val="40"/>
          <c:min val="5"/>
        </c:scaling>
        <c:delete val="0"/>
        <c:axPos val="l"/>
        <c:title>
          <c:tx>
            <c:strRef>
              <c:f>PCAMinDist!$C$1</c:f>
              <c:strCache>
                <c:ptCount val="1"/>
                <c:pt idx="0">
                  <c:v>ad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25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Projections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PCAMinDist!$N$2:$N$31</c:f>
              <c:numCache>
                <c:formatCode>General</c:formatCode>
                <c:ptCount val="30"/>
                <c:pt idx="0">
                  <c:v>-5.5173401025784301</c:v>
                </c:pt>
                <c:pt idx="1">
                  <c:v>5.881175099582217</c:v>
                </c:pt>
                <c:pt idx="2">
                  <c:v>10.836331878665559</c:v>
                </c:pt>
                <c:pt idx="3">
                  <c:v>-5.9894813124026651</c:v>
                </c:pt>
                <c:pt idx="4">
                  <c:v>-1.3457066470492283</c:v>
                </c:pt>
                <c:pt idx="5">
                  <c:v>12.985963366469527</c:v>
                </c:pt>
                <c:pt idx="6">
                  <c:v>-15.271670851504851</c:v>
                </c:pt>
                <c:pt idx="7">
                  <c:v>-4.4910496253845809</c:v>
                </c:pt>
                <c:pt idx="8">
                  <c:v>8.2627089453046079</c:v>
                </c:pt>
                <c:pt idx="9">
                  <c:v>3.613612632033437</c:v>
                </c:pt>
                <c:pt idx="10">
                  <c:v>-15.461614146451137</c:v>
                </c:pt>
                <c:pt idx="11">
                  <c:v>8.4844936747222555</c:v>
                </c:pt>
                <c:pt idx="12">
                  <c:v>6.8773228900952432</c:v>
                </c:pt>
                <c:pt idx="13">
                  <c:v>5.1019326539246643</c:v>
                </c:pt>
                <c:pt idx="14">
                  <c:v>0.66101153752280251</c:v>
                </c:pt>
                <c:pt idx="15">
                  <c:v>-19.911673439194573</c:v>
                </c:pt>
                <c:pt idx="16">
                  <c:v>-29.315302191821701</c:v>
                </c:pt>
                <c:pt idx="17">
                  <c:v>5.8061460000862199</c:v>
                </c:pt>
                <c:pt idx="18">
                  <c:v>8.8273972839242312</c:v>
                </c:pt>
                <c:pt idx="19">
                  <c:v>20.207953281356204</c:v>
                </c:pt>
                <c:pt idx="20">
                  <c:v>5.28621408295081</c:v>
                </c:pt>
                <c:pt idx="21">
                  <c:v>5.1024510491141291</c:v>
                </c:pt>
                <c:pt idx="22">
                  <c:v>5.8043641236998118</c:v>
                </c:pt>
                <c:pt idx="23">
                  <c:v>3.250840689962093</c:v>
                </c:pt>
                <c:pt idx="24">
                  <c:v>27.514074328934413</c:v>
                </c:pt>
                <c:pt idx="25">
                  <c:v>-6.1368610199969016</c:v>
                </c:pt>
                <c:pt idx="26">
                  <c:v>-0.56437441785149933</c:v>
                </c:pt>
                <c:pt idx="27">
                  <c:v>-8.0098106058561491</c:v>
                </c:pt>
                <c:pt idx="28">
                  <c:v>-17.248722888765496</c:v>
                </c:pt>
                <c:pt idx="29">
                  <c:v>-15.240386269491299</c:v>
                </c:pt>
              </c:numCache>
            </c:numRef>
          </c:xVal>
          <c:yVal>
            <c:numRef>
              <c:f>PCAMinDist!$O$2:$O$31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66-44BD-B645-5B3C0BF79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33231"/>
        <c:axId val="1932735311"/>
      </c:scatterChart>
      <c:valAx>
        <c:axId val="1932733231"/>
        <c:scaling>
          <c:orientation val="minMax"/>
          <c:max val="28"/>
          <c:min val="-3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735311"/>
        <c:crosses val="autoZero"/>
        <c:crossBetween val="midCat"/>
      </c:valAx>
      <c:valAx>
        <c:axId val="1932735311"/>
        <c:scaling>
          <c:orientation val="minMax"/>
          <c:max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932733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PCA Illustration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PCADemoScaled!$C$2</c:f>
              <c:strCache>
                <c:ptCount val="1"/>
                <c:pt idx="0">
                  <c:v>ad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PCADemoScaled!$G$3:$G$32</c:f>
              <c:numCache>
                <c:formatCode>General</c:formatCode>
                <c:ptCount val="30"/>
                <c:pt idx="0">
                  <c:v>-0.52864986084065979</c:v>
                </c:pt>
                <c:pt idx="1">
                  <c:v>0.44058158651330293</c:v>
                </c:pt>
                <c:pt idx="2">
                  <c:v>0.87676934007017227</c:v>
                </c:pt>
                <c:pt idx="3">
                  <c:v>-0.51863110496392961</c:v>
                </c:pt>
                <c:pt idx="4">
                  <c:v>-0.1436720007078148</c:v>
                </c:pt>
                <c:pt idx="5">
                  <c:v>1.0067543597072572</c:v>
                </c:pt>
                <c:pt idx="6">
                  <c:v>-1.2629889712709048</c:v>
                </c:pt>
                <c:pt idx="7">
                  <c:v>-0.48869701710616387</c:v>
                </c:pt>
                <c:pt idx="8">
                  <c:v>0.71936734750890208</c:v>
                </c:pt>
                <c:pt idx="9">
                  <c:v>0.26510024974609869</c:v>
                </c:pt>
                <c:pt idx="10">
                  <c:v>-1.1639521861816937</c:v>
                </c:pt>
                <c:pt idx="11">
                  <c:v>0.67560560236190215</c:v>
                </c:pt>
                <c:pt idx="12">
                  <c:v>0.5766455909470366</c:v>
                </c:pt>
                <c:pt idx="13">
                  <c:v>0.43165569150850613</c:v>
                </c:pt>
                <c:pt idx="14">
                  <c:v>0.10527566473321821</c:v>
                </c:pt>
                <c:pt idx="15">
                  <c:v>-1.6254432163462387</c:v>
                </c:pt>
                <c:pt idx="16">
                  <c:v>-2.441687889470102</c:v>
                </c:pt>
                <c:pt idx="17">
                  <c:v>0.46184510258582101</c:v>
                </c:pt>
                <c:pt idx="18">
                  <c:v>0.6840281664366773</c:v>
                </c:pt>
                <c:pt idx="19">
                  <c:v>1.6797680882207737</c:v>
                </c:pt>
                <c:pt idx="20">
                  <c:v>0.47693323982050001</c:v>
                </c:pt>
                <c:pt idx="21">
                  <c:v>0.45189116094232562</c:v>
                </c:pt>
                <c:pt idx="22">
                  <c:v>0.50315188216132356</c:v>
                </c:pt>
                <c:pt idx="23">
                  <c:v>0.33805466926383815</c:v>
                </c:pt>
                <c:pt idx="24">
                  <c:v>2.1929789670135516</c:v>
                </c:pt>
                <c:pt idx="25">
                  <c:v>-0.46470766158593441</c:v>
                </c:pt>
                <c:pt idx="26">
                  <c:v>-2.9202020491347704E-2</c:v>
                </c:pt>
                <c:pt idx="27">
                  <c:v>-0.63058120094474879</c:v>
                </c:pt>
                <c:pt idx="28">
                  <c:v>-1.3741716346230555</c:v>
                </c:pt>
                <c:pt idx="29">
                  <c:v>-1.2140219450086387</c:v>
                </c:pt>
              </c:numCache>
            </c:numRef>
          </c:xVal>
          <c:yVal>
            <c:numRef>
              <c:f>PCADemoScaled!$H$3:$H$32</c:f>
              <c:numCache>
                <c:formatCode>General</c:formatCode>
                <c:ptCount val="30"/>
                <c:pt idx="0">
                  <c:v>-0.12065898160868568</c:v>
                </c:pt>
                <c:pt idx="1">
                  <c:v>0.62266544025979098</c:v>
                </c:pt>
                <c:pt idx="2">
                  <c:v>0.8861457137912202</c:v>
                </c:pt>
                <c:pt idx="3">
                  <c:v>-0.35306225028004101</c:v>
                </c:pt>
                <c:pt idx="4">
                  <c:v>2.9776797949938479E-2</c:v>
                </c:pt>
                <c:pt idx="5">
                  <c:v>1.2385342560358996</c:v>
                </c:pt>
                <c:pt idx="6">
                  <c:v>-1.1389060105711484</c:v>
                </c:pt>
                <c:pt idx="7">
                  <c:v>0.13642150227830074</c:v>
                </c:pt>
                <c:pt idx="8">
                  <c:v>0.47140146484312689</c:v>
                </c:pt>
                <c:pt idx="9">
                  <c:v>0.4051330217095096</c:v>
                </c:pt>
                <c:pt idx="10">
                  <c:v>-1.6142292017499504</c:v>
                </c:pt>
                <c:pt idx="11">
                  <c:v>0.73753395852908743</c:v>
                </c:pt>
                <c:pt idx="12">
                  <c:v>0.4812116979587972</c:v>
                </c:pt>
                <c:pt idx="13">
                  <c:v>0.34142503449003203</c:v>
                </c:pt>
                <c:pt idx="14">
                  <c:v>-0.15410034909187448</c:v>
                </c:pt>
                <c:pt idx="15">
                  <c:v>-1.5704666324797352</c:v>
                </c:pt>
                <c:pt idx="16">
                  <c:v>-2.1168194252949526</c:v>
                </c:pt>
                <c:pt idx="17">
                  <c:v>0.50667491141428056</c:v>
                </c:pt>
                <c:pt idx="18">
                  <c:v>0.84322882349485806</c:v>
                </c:pt>
                <c:pt idx="19">
                  <c:v>1.472708034782146</c:v>
                </c:pt>
                <c:pt idx="20">
                  <c:v>0.2344494998777624</c:v>
                </c:pt>
                <c:pt idx="21">
                  <c:v>0.26031030045364018</c:v>
                </c:pt>
                <c:pt idx="22">
                  <c:v>0.339939168125929</c:v>
                </c:pt>
                <c:pt idx="23">
                  <c:v>-3.5698733672308122E-2</c:v>
                </c:pt>
                <c:pt idx="24">
                  <c:v>2.3833615100742911</c:v>
                </c:pt>
                <c:pt idx="25">
                  <c:v>-0.6297551010364858</c:v>
                </c:pt>
                <c:pt idx="26">
                  <c:v>-0.11231061259611697</c:v>
                </c:pt>
                <c:pt idx="27">
                  <c:v>-0.72531294235009725</c:v>
                </c:pt>
                <c:pt idx="28">
                  <c:v>-1.4966292781414363</c:v>
                </c:pt>
                <c:pt idx="29">
                  <c:v>-1.3229716171957937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C5-4BBF-AFAE-8ADBA1977988}"/>
            </c:ext>
          </c:extLst>
        </c:ser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PCADemoScaled!$E$3:$E$32</c:f>
              <c:numCache>
                <c:formatCode>General</c:formatCode>
                <c:ptCount val="30"/>
                <c:pt idx="0">
                  <c:v>-5.8253403059896769</c:v>
                </c:pt>
                <c:pt idx="1">
                  <c:v>4.8548914207818186</c:v>
                </c:pt>
                <c:pt idx="2">
                  <c:v>9.6613659703699213</c:v>
                </c:pt>
                <c:pt idx="3">
                  <c:v>-5.7149408398254771</c:v>
                </c:pt>
                <c:pt idx="4">
                  <c:v>-1.5831618592209793</c:v>
                </c:pt>
                <c:pt idx="5">
                  <c:v>11.093707166606421</c:v>
                </c:pt>
                <c:pt idx="6">
                  <c:v>-13.91722783898058</c:v>
                </c:pt>
                <c:pt idx="7">
                  <c:v>-5.3850887743324769</c:v>
                </c:pt>
                <c:pt idx="8">
                  <c:v>7.9269095003499217</c:v>
                </c:pt>
                <c:pt idx="9">
                  <c:v>2.9212136129538209</c:v>
                </c:pt>
                <c:pt idx="10">
                  <c:v>-12.825913873554779</c:v>
                </c:pt>
                <c:pt idx="11">
                  <c:v>7.4446866213731226</c:v>
                </c:pt>
                <c:pt idx="12">
                  <c:v>6.3542186464842203</c:v>
                </c:pt>
                <c:pt idx="13">
                  <c:v>4.7565344934655229</c:v>
                </c:pt>
                <c:pt idx="14">
                  <c:v>1.1600619208242193</c:v>
                </c:pt>
                <c:pt idx="15">
                  <c:v>-17.91121228750918</c:v>
                </c:pt>
                <c:pt idx="16">
                  <c:v>-26.905640066864979</c:v>
                </c:pt>
                <c:pt idx="17">
                  <c:v>5.0892000367480179</c:v>
                </c:pt>
                <c:pt idx="18">
                  <c:v>7.5374972047459181</c:v>
                </c:pt>
                <c:pt idx="19">
                  <c:v>18.509833206930622</c:v>
                </c:pt>
                <c:pt idx="20">
                  <c:v>5.2554604304152193</c:v>
                </c:pt>
                <c:pt idx="21">
                  <c:v>4.9795147767025227</c:v>
                </c:pt>
                <c:pt idx="22">
                  <c:v>5.5443709651753181</c:v>
                </c:pt>
                <c:pt idx="23">
                  <c:v>3.7251187153612193</c:v>
                </c:pt>
                <c:pt idx="24">
                  <c:v>24.165047062373318</c:v>
                </c:pt>
                <c:pt idx="25">
                  <c:v>-5.120743373002977</c:v>
                </c:pt>
                <c:pt idx="26">
                  <c:v>-0.32178521094107992</c:v>
                </c:pt>
                <c:pt idx="27">
                  <c:v>-6.9485501806837782</c:v>
                </c:pt>
                <c:pt idx="28">
                  <c:v>-15.142380625595578</c:v>
                </c:pt>
                <c:pt idx="29">
                  <c:v>-13.377646515159878</c:v>
                </c:pt>
              </c:numCache>
            </c:numRef>
          </c:xVal>
          <c:yVal>
            <c:numRef>
              <c:f>PCADemoScaled!$J$3:$J$32</c:f>
              <c:numCache>
                <c:formatCode>General</c:formatCode>
                <c:ptCount val="30"/>
                <c:pt idx="0">
                  <c:v>-6.3310577700490516</c:v>
                </c:pt>
                <c:pt idx="1">
                  <c:v>5.2763609399233751</c:v>
                </c:pt>
                <c:pt idx="2">
                  <c:v>10.50010177656158</c:v>
                </c:pt>
                <c:pt idx="3">
                  <c:v>-6.2110741534096148</c:v>
                </c:pt>
                <c:pt idx="4">
                  <c:v>-1.7206014865364065</c:v>
                </c:pt>
                <c:pt idx="5">
                  <c:v>12.056789349040461</c:v>
                </c:pt>
                <c:pt idx="6">
                  <c:v>-15.12542938597502</c:v>
                </c:pt>
                <c:pt idx="7">
                  <c:v>-5.8525865162051476</c:v>
                </c:pt>
                <c:pt idx="8">
                  <c:v>8.6150712831428109</c:v>
                </c:pt>
                <c:pt idx="9">
                  <c:v>3.1748140315936979</c:v>
                </c:pt>
                <c:pt idx="10">
                  <c:v>-13.939374769857919</c:v>
                </c:pt>
                <c:pt idx="11">
                  <c:v>8.0909850075818142</c:v>
                </c:pt>
                <c:pt idx="12">
                  <c:v>6.9058498252970191</c:v>
                </c:pt>
                <c:pt idx="13">
                  <c:v>5.1694653155967218</c:v>
                </c:pt>
                <c:pt idx="14">
                  <c:v>1.2607708136845828</c:v>
                </c:pt>
                <c:pt idx="15">
                  <c:v>-19.466145112112528</c:v>
                </c:pt>
                <c:pt idx="16">
                  <c:v>-29.241409541056687</c:v>
                </c:pt>
                <c:pt idx="17">
                  <c:v>5.5310106780986672</c:v>
                </c:pt>
                <c:pt idx="18">
                  <c:v>8.1918527911173022</c:v>
                </c:pt>
                <c:pt idx="19">
                  <c:v>20.116734335083795</c:v>
                </c:pt>
                <c:pt idx="20">
                  <c:v>5.711704697999247</c:v>
                </c:pt>
                <c:pt idx="21">
                  <c:v>5.4118032702229639</c:v>
                </c:pt>
                <c:pt idx="22">
                  <c:v>6.0256965319288875</c:v>
                </c:pt>
                <c:pt idx="23">
                  <c:v>4.0485088507178766</c:v>
                </c:pt>
                <c:pt idx="24">
                  <c:v>26.262896402899131</c:v>
                </c:pt>
                <c:pt idx="25">
                  <c:v>-5.5652923978953446</c:v>
                </c:pt>
                <c:pt idx="26">
                  <c:v>-0.3497204717672347</c:v>
                </c:pt>
                <c:pt idx="27">
                  <c:v>-7.5517772870300934</c:v>
                </c:pt>
                <c:pt idx="28">
                  <c:v>-16.456941823320662</c:v>
                </c:pt>
                <c:pt idx="29">
                  <c:v>-14.539005185274519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C5-4BBF-AFAE-8ADBA1977988}"/>
            </c:ext>
          </c:extLst>
        </c:ser>
        <c:ser>
          <c:idx val="2"/>
          <c:order val="2"/>
          <c:tx>
            <c:v>Projection</c:v>
          </c:tx>
          <c:spPr>
            <a:ln w="25400" cap="rnd">
              <a:solidFill>
                <a:schemeClr val="tx1"/>
              </a:solidFill>
              <a:prstDash val="sysDot"/>
              <a:round/>
              <a:headEnd type="triangle"/>
              <a:tailEnd type="none"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PCADemoScaled!$P$15:$P$16</c:f>
              <c:numCache>
                <c:formatCode>General</c:formatCode>
                <c:ptCount val="2"/>
                <c:pt idx="0">
                  <c:v>-0.18</c:v>
                </c:pt>
                <c:pt idx="1">
                  <c:v>-0.48869701710616387</c:v>
                </c:pt>
              </c:numCache>
            </c:numRef>
          </c:xVal>
          <c:yVal>
            <c:numRef>
              <c:f>PCADemoScaled!$Q$15:$Q$16</c:f>
              <c:numCache>
                <c:formatCode>General</c:formatCode>
                <c:ptCount val="2"/>
                <c:pt idx="0">
                  <c:v>-0.19562640785759594</c:v>
                </c:pt>
                <c:pt idx="1">
                  <c:v>0.13642150227830074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C5-4BBF-AFAE-8ADBA1977988}"/>
            </c:ext>
          </c:extLst>
        </c:ser>
        <c:ser>
          <c:idx val="3"/>
          <c:order val="3"/>
          <c:tx>
            <c:v>badLine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PCADemoScaled!$K$3:$K$33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PCADemoScaled!$L$3:$L$33</c:f>
              <c:numCache>
                <c:formatCode>General</c:formatCode>
                <c:ptCount val="31"/>
                <c:pt idx="0">
                  <c:v>-2.5</c:v>
                </c:pt>
                <c:pt idx="1">
                  <c:v>-0.66839832493109341</c:v>
                </c:pt>
                <c:pt idx="2">
                  <c:v>3.4492959555376075</c:v>
                </c:pt>
                <c:pt idx="3">
                  <c:v>4.908862173757008</c:v>
                </c:pt>
                <c:pt idx="4">
                  <c:v>-1.9558114409494927</c:v>
                </c:pt>
                <c:pt idx="5">
                  <c:v>0.16495052093260654</c:v>
                </c:pt>
                <c:pt idx="6">
                  <c:v>6.8609415649550058</c:v>
                </c:pt>
                <c:pt idx="7">
                  <c:v>-6.309044379211894</c:v>
                </c:pt>
                <c:pt idx="8">
                  <c:v>0.75571583973020751</c:v>
                </c:pt>
                <c:pt idx="9">
                  <c:v>2.6113592645185086</c:v>
                </c:pt>
                <c:pt idx="10">
                  <c:v>2.2442608869609053</c:v>
                </c:pt>
                <c:pt idx="11">
                  <c:v>-8.9421283034171939</c:v>
                </c:pt>
                <c:pt idx="12">
                  <c:v>4.0856176298537079</c:v>
                </c:pt>
                <c:pt idx="13">
                  <c:v>2.6657036928758053</c:v>
                </c:pt>
                <c:pt idx="14">
                  <c:v>1.8913463225041056</c:v>
                </c:pt>
                <c:pt idx="15">
                  <c:v>-0.85364896861429429</c:v>
                </c:pt>
                <c:pt idx="16">
                  <c:v>-8.6997026869822935</c:v>
                </c:pt>
                <c:pt idx="17">
                  <c:v>-11.726259737856893</c:v>
                </c:pt>
                <c:pt idx="18">
                  <c:v>2.8067588302066078</c:v>
                </c:pt>
                <c:pt idx="19">
                  <c:v>4.671121251341706</c:v>
                </c:pt>
                <c:pt idx="20">
                  <c:v>8.1581625374011075</c:v>
                </c:pt>
                <c:pt idx="21">
                  <c:v>1.2987483476982078</c:v>
                </c:pt>
                <c:pt idx="22">
                  <c:v>1.4420059449018083</c:v>
                </c:pt>
                <c:pt idx="23">
                  <c:v>1.8831152685403083</c:v>
                </c:pt>
                <c:pt idx="24">
                  <c:v>-0.19775547141709282</c:v>
                </c:pt>
                <c:pt idx="25">
                  <c:v>13.20278705985881</c:v>
                </c:pt>
                <c:pt idx="26">
                  <c:v>-3.4885695953801914</c:v>
                </c:pt>
                <c:pt idx="27">
                  <c:v>-0.62215198844199193</c:v>
                </c:pt>
                <c:pt idx="28">
                  <c:v>-4.0179185109477942</c:v>
                </c:pt>
                <c:pt idx="29">
                  <c:v>-8.2906758304725923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CC5-4BBF-AFAE-8ADBA1977988}"/>
            </c:ext>
          </c:extLst>
        </c:ser>
        <c:ser>
          <c:idx val="4"/>
          <c:order val="4"/>
          <c:spPr>
            <a:ln w="25400" cap="rnd">
              <a:solidFill>
                <a:schemeClr val="tx1"/>
              </a:solidFill>
              <a:prstDash val="sysDot"/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PCADemoScaled!$P$25:$P$26</c:f>
              <c:numCache>
                <c:formatCode>General</c:formatCode>
                <c:ptCount val="2"/>
                <c:pt idx="0">
                  <c:v>-2.441687889470102</c:v>
                </c:pt>
                <c:pt idx="1">
                  <c:v>0</c:v>
                </c:pt>
              </c:numCache>
            </c:numRef>
          </c:xVal>
          <c:yVal>
            <c:numRef>
              <c:f>PCADemoScaled!$Q$25:$Q$26</c:f>
              <c:numCache>
                <c:formatCode>General</c:formatCode>
                <c:ptCount val="2"/>
                <c:pt idx="0">
                  <c:v>-2.1168194252949526</c:v>
                </c:pt>
                <c:pt idx="1">
                  <c:v>-2.1168194252949526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CC5-4BBF-AFAE-8ADBA1977988}"/>
            </c:ext>
          </c:extLst>
        </c:ser>
        <c:ser>
          <c:idx val="5"/>
          <c:order val="5"/>
          <c:spPr>
            <a:ln w="25400" cap="rnd">
              <a:solidFill>
                <a:schemeClr val="tx1"/>
              </a:solidFill>
              <a:prstDash val="sysDot"/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PCADemoScaled!$P$28:$P$29</c:f>
              <c:numCache>
                <c:formatCode>General</c:formatCode>
                <c:ptCount val="2"/>
                <c:pt idx="0">
                  <c:v>2.1929789670135516</c:v>
                </c:pt>
                <c:pt idx="1">
                  <c:v>0</c:v>
                </c:pt>
              </c:numCache>
            </c:numRef>
          </c:xVal>
          <c:yVal>
            <c:numRef>
              <c:f>PCADemoScaled!$Q$28:$Q$29</c:f>
              <c:numCache>
                <c:formatCode>General</c:formatCode>
                <c:ptCount val="2"/>
                <c:pt idx="0">
                  <c:v>2.3833615100742911</c:v>
                </c:pt>
                <c:pt idx="1">
                  <c:v>2.3833615100742911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C5-4BBF-AFAE-8ADBA1977988}"/>
            </c:ext>
          </c:extLst>
        </c:ser>
        <c:ser>
          <c:idx val="6"/>
          <c:order val="6"/>
          <c:spPr>
            <a:ln w="25400" cap="rnd">
              <a:solidFill>
                <a:schemeClr val="tx1"/>
              </a:solidFill>
              <a:prstDash val="sysDot"/>
              <a:round/>
              <a:headEnd type="triangle"/>
              <a:tailEnd type="none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PCADemoScaled!$P$17:$P$18</c:f>
              <c:numCache>
                <c:formatCode>General</c:formatCode>
                <c:ptCount val="2"/>
                <c:pt idx="0">
                  <c:v>1.52</c:v>
                </c:pt>
                <c:pt idx="1">
                  <c:v>1.6797680882207737</c:v>
                </c:pt>
              </c:numCache>
            </c:numRef>
          </c:xVal>
          <c:yVal>
            <c:numRef>
              <c:f>PCADemoScaled!$Q$17:$Q$18</c:f>
              <c:numCache>
                <c:formatCode>General</c:formatCode>
                <c:ptCount val="2"/>
                <c:pt idx="0">
                  <c:v>1.6519563330196991</c:v>
                </c:pt>
                <c:pt idx="1">
                  <c:v>1.472708034782146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CC5-4BBF-AFAE-8ADBA1977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925455"/>
        <c:axId val="675927951"/>
      </c:scatterChart>
      <c:valAx>
        <c:axId val="675925455"/>
        <c:scaling>
          <c:orientation val="minMax"/>
          <c:max val="3"/>
          <c:min val="-3"/>
        </c:scaling>
        <c:delete val="0"/>
        <c:axPos val="b"/>
        <c:title>
          <c:tx>
            <c:strRef>
              <c:f>PCADemoScaled!$G$2</c:f>
              <c:strCache>
                <c:ptCount val="1"/>
                <c:pt idx="0">
                  <c:v>popscaled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27951"/>
        <c:crosses val="autoZero"/>
        <c:crossBetween val="midCat"/>
      </c:valAx>
      <c:valAx>
        <c:axId val="675927951"/>
        <c:scaling>
          <c:orientation val="minMax"/>
          <c:max val="3"/>
          <c:min val="-3"/>
        </c:scaling>
        <c:delete val="0"/>
        <c:axPos val="l"/>
        <c:title>
          <c:tx>
            <c:strRef>
              <c:f>PCADemoScaled!$H$2</c:f>
              <c:strCache>
                <c:ptCount val="1"/>
                <c:pt idx="0">
                  <c:v>adscaled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925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8</xdr:row>
      <xdr:rowOff>180975</xdr:rowOff>
    </xdr:from>
    <xdr:to>
      <xdr:col>19</xdr:col>
      <xdr:colOff>9525</xdr:colOff>
      <xdr:row>33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180974</xdr:colOff>
      <xdr:row>33</xdr:row>
      <xdr:rowOff>157163</xdr:rowOff>
    </xdr:from>
    <xdr:to>
      <xdr:col>19</xdr:col>
      <xdr:colOff>209550</xdr:colOff>
      <xdr:row>36</xdr:row>
      <xdr:rowOff>19051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131521</xdr:colOff>
          <xdr:row>21</xdr:row>
          <xdr:rowOff>72007</xdr:rowOff>
        </xdr:from>
        <xdr:to>
          <xdr:col>18</xdr:col>
          <xdr:colOff>762673</xdr:colOff>
          <xdr:row>24</xdr:row>
          <xdr:rowOff>72007</xdr:rowOff>
        </xdr:to>
        <xdr:pic>
          <xdr:nvPicPr>
            <xdr:cNvPr id="5" name="projection" hidden="1"/>
            <xdr:cNvPicPr>
              <a:picLocks noChangeAspect="1" noChangeArrowheads="1"/>
              <a:extLst>
                <a:ext uri="{84589F7E-364E-4C9E-8A38-B11213B215E9}">
                  <a14:cameraTool cellRange="$E$34:$S$36" spid="_x0000_s415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 rot="20193725">
              <a:off x="1655521" y="4120132"/>
              <a:ext cx="8070177" cy="5715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37</xdr:row>
          <xdr:rowOff>142875</xdr:rowOff>
        </xdr:from>
        <xdr:to>
          <xdr:col>11</xdr:col>
          <xdr:colOff>295275</xdr:colOff>
          <xdr:row>39</xdr:row>
          <xdr:rowOff>28575</xdr:rowOff>
        </xdr:to>
        <xdr:sp macro="" textlink="">
          <xdr:nvSpPr>
            <xdr:cNvPr id="4097" name="Check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8</xdr:row>
      <xdr:rowOff>152400</xdr:rowOff>
    </xdr:from>
    <xdr:to>
      <xdr:col>19</xdr:col>
      <xdr:colOff>9525</xdr:colOff>
      <xdr:row>33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180974</xdr:colOff>
      <xdr:row>33</xdr:row>
      <xdr:rowOff>157163</xdr:rowOff>
    </xdr:from>
    <xdr:to>
      <xdr:col>19</xdr:col>
      <xdr:colOff>209550</xdr:colOff>
      <xdr:row>36</xdr:row>
      <xdr:rowOff>19051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201382</xdr:colOff>
          <xdr:row>21</xdr:row>
          <xdr:rowOff>128454</xdr:rowOff>
        </xdr:from>
        <xdr:to>
          <xdr:col>18</xdr:col>
          <xdr:colOff>762152</xdr:colOff>
          <xdr:row>24</xdr:row>
          <xdr:rowOff>128454</xdr:rowOff>
        </xdr:to>
        <xdr:pic>
          <xdr:nvPicPr>
            <xdr:cNvPr id="4" name="projection" hidden="1"/>
            <xdr:cNvPicPr>
              <a:picLocks noChangeAspect="1" noChangeArrowheads="1"/>
              <a:extLst>
                <a:ext uri="{84589F7E-364E-4C9E-8A38-B11213B215E9}">
                  <a14:cameraTool cellRange="$E$34:$S$36" spid="_x0000_s517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 rot="20191925">
              <a:off x="1725382" y="4176579"/>
              <a:ext cx="7999795" cy="5715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37</xdr:row>
          <xdr:rowOff>142875</xdr:rowOff>
        </xdr:from>
        <xdr:to>
          <xdr:col>11</xdr:col>
          <xdr:colOff>295275</xdr:colOff>
          <xdr:row>39</xdr:row>
          <xdr:rowOff>28575</xdr:rowOff>
        </xdr:to>
        <xdr:sp macro="" textlink="">
          <xdr:nvSpPr>
            <xdr:cNvPr id="5121" name="CheckBox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57149</xdr:colOff>
      <xdr:row>0</xdr:row>
      <xdr:rowOff>171450</xdr:rowOff>
    </xdr:from>
    <xdr:to>
      <xdr:col>23</xdr:col>
      <xdr:colOff>171450</xdr:colOff>
      <xdr:row>29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xplain"/>
  <dimension ref="B2:C15"/>
  <sheetViews>
    <sheetView showGridLines="0" showRowColHeaders="0" workbookViewId="0">
      <selection activeCell="F16" sqref="F16"/>
    </sheetView>
  </sheetViews>
  <sheetFormatPr defaultRowHeight="15" x14ac:dyDescent="0.25"/>
  <cols>
    <col min="1" max="1" width="3.140625" customWidth="1"/>
  </cols>
  <sheetData>
    <row r="2" spans="2:3" ht="21" x14ac:dyDescent="0.35">
      <c r="B2" s="6" t="s">
        <v>72</v>
      </c>
    </row>
    <row r="3" spans="2:3" ht="21" x14ac:dyDescent="0.35">
      <c r="B3" s="6" t="s">
        <v>73</v>
      </c>
    </row>
    <row r="4" spans="2:3" ht="21" x14ac:dyDescent="0.35">
      <c r="B4" s="6"/>
      <c r="C4" s="6"/>
    </row>
    <row r="5" spans="2:3" ht="24.75" x14ac:dyDescent="0.45">
      <c r="B5" s="6" t="s">
        <v>76</v>
      </c>
    </row>
    <row r="6" spans="2:3" ht="24.75" x14ac:dyDescent="0.45">
      <c r="B6" s="6" t="s">
        <v>84</v>
      </c>
    </row>
    <row r="7" spans="2:3" ht="21" x14ac:dyDescent="0.35">
      <c r="B7" s="6" t="s">
        <v>77</v>
      </c>
    </row>
    <row r="8" spans="2:3" ht="21" x14ac:dyDescent="0.35">
      <c r="B8" s="6"/>
    </row>
    <row r="9" spans="2:3" ht="21" x14ac:dyDescent="0.35">
      <c r="B9" s="6" t="s">
        <v>79</v>
      </c>
    </row>
    <row r="10" spans="2:3" ht="21" x14ac:dyDescent="0.35">
      <c r="B10" s="6" t="s">
        <v>75</v>
      </c>
    </row>
    <row r="11" spans="2:3" ht="21" x14ac:dyDescent="0.35">
      <c r="B11" s="6" t="s">
        <v>80</v>
      </c>
    </row>
    <row r="13" spans="2:3" ht="23.25" x14ac:dyDescent="0.35">
      <c r="B13" s="6" t="s">
        <v>82</v>
      </c>
    </row>
    <row r="14" spans="2:3" ht="21" x14ac:dyDescent="0.35">
      <c r="B14" s="6" t="s">
        <v>81</v>
      </c>
    </row>
    <row r="15" spans="2:3" ht="21" x14ac:dyDescent="0.35">
      <c r="B15" s="6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PCAMaxVar"/>
  <dimension ref="B1:AE39"/>
  <sheetViews>
    <sheetView showGridLines="0" tabSelected="1" workbookViewId="0">
      <selection activeCell="K2" sqref="K2:L2"/>
    </sheetView>
  </sheetViews>
  <sheetFormatPr defaultRowHeight="15" x14ac:dyDescent="0.25"/>
  <cols>
    <col min="1" max="1" width="2.42578125" customWidth="1"/>
    <col min="3" max="3" width="9.140625" customWidth="1"/>
    <col min="4" max="4" width="2.140625" customWidth="1"/>
    <col min="5" max="6" width="9.140625" customWidth="1"/>
    <col min="7" max="7" width="2.42578125" customWidth="1"/>
    <col min="8" max="9" width="12" customWidth="1"/>
    <col min="10" max="10" width="3" customWidth="1"/>
    <col min="11" max="12" width="12.140625" customWidth="1"/>
    <col min="13" max="13" width="2.85546875" customWidth="1"/>
    <col min="15" max="15" width="2" customWidth="1"/>
    <col min="16" max="16" width="11.28515625" customWidth="1"/>
    <col min="17" max="17" width="2.28515625" customWidth="1"/>
    <col min="18" max="19" width="12" customWidth="1"/>
    <col min="21" max="21" width="2.140625" customWidth="1"/>
    <col min="22" max="22" width="9.140625" customWidth="1"/>
    <col min="23" max="23" width="2.140625" customWidth="1"/>
    <col min="25" max="25" width="2.85546875" customWidth="1"/>
    <col min="28" max="28" width="4.7109375" customWidth="1"/>
    <col min="29" max="29" width="12" bestFit="1" customWidth="1"/>
  </cols>
  <sheetData>
    <row r="1" spans="2:31" ht="18.75" x14ac:dyDescent="0.35">
      <c r="B1" s="4" t="s">
        <v>1</v>
      </c>
      <c r="C1" s="4" t="s">
        <v>0</v>
      </c>
      <c r="D1" s="4"/>
      <c r="E1" s="4" t="s">
        <v>17</v>
      </c>
      <c r="F1" s="4" t="s">
        <v>16</v>
      </c>
      <c r="G1" s="4"/>
      <c r="H1" s="4" t="s">
        <v>10</v>
      </c>
      <c r="I1" s="4" t="s">
        <v>11</v>
      </c>
      <c r="J1" s="4"/>
      <c r="K1" s="4" t="s">
        <v>13</v>
      </c>
      <c r="L1" s="4" t="s">
        <v>12</v>
      </c>
      <c r="M1" s="4"/>
      <c r="N1" s="4" t="s">
        <v>2</v>
      </c>
      <c r="O1" s="4"/>
      <c r="P1" s="4" t="s">
        <v>42</v>
      </c>
      <c r="Q1" s="4"/>
      <c r="R1" s="4" t="s">
        <v>14</v>
      </c>
      <c r="S1" s="4" t="s">
        <v>15</v>
      </c>
      <c r="T1" s="4" t="s">
        <v>4</v>
      </c>
      <c r="U1" s="4"/>
      <c r="V1" s="4" t="s">
        <v>20</v>
      </c>
      <c r="W1" s="4"/>
      <c r="X1" s="4" t="s">
        <v>3</v>
      </c>
      <c r="Y1" s="3"/>
      <c r="Z1" s="3" t="s">
        <v>8</v>
      </c>
      <c r="AA1" s="3" t="s">
        <v>9</v>
      </c>
      <c r="AC1" s="30" t="s">
        <v>22</v>
      </c>
      <c r="AD1" s="30"/>
      <c r="AE1" s="30"/>
    </row>
    <row r="2" spans="2:31" x14ac:dyDescent="0.25">
      <c r="B2">
        <v>31.280299760875302</v>
      </c>
      <c r="C2">
        <v>21.3677645480496</v>
      </c>
      <c r="E2">
        <f>AVERAGE($B$2:$B$31)</f>
        <v>37.105640066864979</v>
      </c>
      <c r="F2">
        <f>AVERAGE($C$2:$C$31)</f>
        <v>22.036162872980693</v>
      </c>
      <c r="H2">
        <f t="shared" ref="H2:H31" si="0">B2-E$2</f>
        <v>-5.8253403059896769</v>
      </c>
      <c r="I2">
        <f t="shared" ref="I2:I31" si="1">C2-F$2</f>
        <v>-0.66839832493109341</v>
      </c>
      <c r="K2" s="7">
        <v>1</v>
      </c>
      <c r="L2" s="7">
        <v>1</v>
      </c>
      <c r="N2">
        <f>phi_01*H2+phi_02*I2</f>
        <v>-6.4937386309207703</v>
      </c>
      <c r="O2" s="8">
        <v>0</v>
      </c>
      <c r="P2">
        <f t="array" ref="P2:P31">MMULT(H2:I31,TRANSPOSE(ph1ph2))</f>
        <v>-6.4937386309207703</v>
      </c>
      <c r="R2" s="10">
        <v>0.52746150636674005</v>
      </c>
      <c r="S2" s="10">
        <v>2.1920833695689654</v>
      </c>
      <c r="T2">
        <f t="shared" ref="T2:T31" si="2">ABS(R$2*B2-C2+S$2)/SQRT(R$2^2+1)</f>
        <v>2.3673888014122744</v>
      </c>
      <c r="V2">
        <f>SUM(T2:T31)</f>
        <v>28.571986844763686</v>
      </c>
      <c r="X2">
        <f t="shared" ref="X2:X31" si="3">R$2*B2+S$2</f>
        <v>18.691237401043431</v>
      </c>
      <c r="Z2" s="2">
        <v>35</v>
      </c>
      <c r="AA2">
        <v>40</v>
      </c>
    </row>
    <row r="3" spans="2:31" ht="15" customHeight="1" x14ac:dyDescent="0.25">
      <c r="B3">
        <v>41.960531487646797</v>
      </c>
      <c r="C3">
        <v>25.485458828518301</v>
      </c>
      <c r="H3">
        <f t="shared" si="0"/>
        <v>4.8548914207818186</v>
      </c>
      <c r="I3">
        <f t="shared" si="1"/>
        <v>3.4492959555376075</v>
      </c>
      <c r="K3" s="27" t="s">
        <v>38</v>
      </c>
      <c r="L3" s="27"/>
      <c r="N3">
        <f t="shared" ref="N3:N31" si="4">phi_01*H3+phi_02*I3</f>
        <v>8.3041873763194261</v>
      </c>
      <c r="O3" s="8">
        <v>0</v>
      </c>
      <c r="P3">
        <v>8.3041873763194261</v>
      </c>
      <c r="T3">
        <f t="shared" si="2"/>
        <v>1.0267369555777206</v>
      </c>
      <c r="X3">
        <f t="shared" si="3"/>
        <v>24.324648515992173</v>
      </c>
      <c r="Z3" s="2">
        <v>35</v>
      </c>
      <c r="AA3">
        <f>C2</f>
        <v>21.3677645480496</v>
      </c>
      <c r="AD3" s="2" t="s">
        <v>5</v>
      </c>
      <c r="AE3" s="2" t="s">
        <v>6</v>
      </c>
    </row>
    <row r="4" spans="2:31" ht="15" customHeight="1" x14ac:dyDescent="0.25">
      <c r="B4">
        <v>46.7670060372349</v>
      </c>
      <c r="C4">
        <v>26.945025046737701</v>
      </c>
      <c r="H4">
        <f t="shared" si="0"/>
        <v>9.6613659703699213</v>
      </c>
      <c r="I4">
        <f t="shared" si="1"/>
        <v>4.908862173757008</v>
      </c>
      <c r="K4" s="28"/>
      <c r="L4" s="28"/>
      <c r="N4">
        <f t="shared" si="4"/>
        <v>14.570228144126929</v>
      </c>
      <c r="O4" s="8">
        <v>0</v>
      </c>
      <c r="P4">
        <v>14.570228144126929</v>
      </c>
      <c r="R4" s="3" t="s">
        <v>21</v>
      </c>
      <c r="S4" s="3" t="s">
        <v>21</v>
      </c>
      <c r="T4">
        <f t="shared" si="2"/>
        <v>7.5311852750842276E-2</v>
      </c>
      <c r="X4">
        <f t="shared" si="3"/>
        <v>26.859878822231313</v>
      </c>
      <c r="Z4" s="2">
        <v>35</v>
      </c>
      <c r="AA4">
        <f t="shared" ref="AA4:AA32" si="5">C3</f>
        <v>25.485458828518301</v>
      </c>
      <c r="AD4">
        <v>33.22</v>
      </c>
      <c r="AE4" s="2">
        <f>R6*AD4+S6</f>
        <v>19.94911447424353</v>
      </c>
    </row>
    <row r="5" spans="2:31" ht="15" customHeight="1" x14ac:dyDescent="0.25">
      <c r="B5">
        <v>31.390699227039502</v>
      </c>
      <c r="C5">
        <v>20.0803514320312</v>
      </c>
      <c r="H5">
        <f t="shared" si="0"/>
        <v>-5.7149408398254771</v>
      </c>
      <c r="I5">
        <f t="shared" si="1"/>
        <v>-1.9558114409494927</v>
      </c>
      <c r="K5" s="29"/>
      <c r="L5" s="29"/>
      <c r="N5">
        <f t="shared" si="4"/>
        <v>-7.6707522807749697</v>
      </c>
      <c r="O5" s="8">
        <v>0</v>
      </c>
      <c r="P5">
        <v>-7.6707522807749697</v>
      </c>
      <c r="R5" s="4" t="s">
        <v>14</v>
      </c>
      <c r="S5" s="4" t="s">
        <v>15</v>
      </c>
      <c r="T5">
        <f t="shared" si="2"/>
        <v>1.1771658947751986</v>
      </c>
      <c r="X5">
        <f t="shared" si="3"/>
        <v>18.749468869768485</v>
      </c>
      <c r="Z5" s="2">
        <v>35</v>
      </c>
      <c r="AA5">
        <f t="shared" si="5"/>
        <v>26.945025046737701</v>
      </c>
      <c r="AC5" t="s">
        <v>7</v>
      </c>
      <c r="AD5">
        <f>B9</f>
        <v>31.720551292532502</v>
      </c>
      <c r="AE5">
        <f>C9</f>
        <v>22.791878712710901</v>
      </c>
    </row>
    <row r="6" spans="2:31" x14ac:dyDescent="0.25">
      <c r="B6">
        <v>35.522478207643999</v>
      </c>
      <c r="C6">
        <v>22.2011133939133</v>
      </c>
      <c r="H6">
        <f t="shared" si="0"/>
        <v>-1.5831618592209793</v>
      </c>
      <c r="I6">
        <f t="shared" si="1"/>
        <v>0.16495052093260654</v>
      </c>
      <c r="K6" s="29"/>
      <c r="L6" s="29"/>
      <c r="N6">
        <f t="shared" si="4"/>
        <v>-1.4182113382883728</v>
      </c>
      <c r="O6" s="8">
        <v>0</v>
      </c>
      <c r="P6">
        <v>-1.4182113382883728</v>
      </c>
      <c r="R6" s="2">
        <f>-1/R2</f>
        <v>-1.8958729460433981</v>
      </c>
      <c r="S6" s="2">
        <f>AE5+AD5/R2</f>
        <v>82.930013741805212</v>
      </c>
      <c r="T6">
        <f t="shared" si="2"/>
        <v>1.1253409023243064</v>
      </c>
      <c r="X6">
        <f t="shared" si="3"/>
        <v>20.928823234852565</v>
      </c>
      <c r="Z6" s="2">
        <v>35</v>
      </c>
      <c r="AA6">
        <f t="shared" si="5"/>
        <v>20.0803514320312</v>
      </c>
    </row>
    <row r="7" spans="2:31" x14ac:dyDescent="0.25">
      <c r="B7">
        <v>48.1993472334714</v>
      </c>
      <c r="C7">
        <v>28.897104437935699</v>
      </c>
      <c r="H7">
        <f t="shared" si="0"/>
        <v>11.093707166606421</v>
      </c>
      <c r="I7">
        <f t="shared" si="1"/>
        <v>6.8609415649550058</v>
      </c>
      <c r="K7" s="4" t="s">
        <v>18</v>
      </c>
      <c r="L7" s="4" t="s">
        <v>19</v>
      </c>
      <c r="N7">
        <f t="shared" si="4"/>
        <v>17.954648731561427</v>
      </c>
      <c r="O7" s="8">
        <v>0</v>
      </c>
      <c r="P7">
        <v>17.954648731561427</v>
      </c>
      <c r="T7">
        <f t="shared" si="2"/>
        <v>1.1336822802271069</v>
      </c>
      <c r="X7">
        <f t="shared" si="3"/>
        <v>27.615383667229356</v>
      </c>
      <c r="Z7" s="2">
        <v>35</v>
      </c>
      <c r="AA7">
        <f t="shared" si="5"/>
        <v>22.2011133939133</v>
      </c>
      <c r="AD7" s="1">
        <f>B18</f>
        <v>10.199999999999999</v>
      </c>
      <c r="AE7" s="1">
        <f>C18</f>
        <v>10.3099031351238</v>
      </c>
    </row>
    <row r="8" spans="2:31" x14ac:dyDescent="0.25">
      <c r="B8">
        <v>23.188412227884399</v>
      </c>
      <c r="C8">
        <v>15.727118493768799</v>
      </c>
      <c r="H8">
        <f t="shared" si="0"/>
        <v>-13.91722783898058</v>
      </c>
      <c r="I8">
        <f t="shared" si="1"/>
        <v>-6.309044379211894</v>
      </c>
      <c r="K8" s="5">
        <f>SQRT(phi_01^2+phi_02^2)</f>
        <v>1.4142135623730951</v>
      </c>
      <c r="L8" s="5">
        <f>_xlfn.VAR.S(N2:N31)</f>
        <v>270.7514031524837</v>
      </c>
      <c r="N8">
        <f t="shared" si="4"/>
        <v>-20.226272218192474</v>
      </c>
      <c r="O8" s="8">
        <v>0</v>
      </c>
      <c r="P8">
        <v>-20.226272218192474</v>
      </c>
      <c r="T8">
        <f t="shared" si="2"/>
        <v>1.1534238909002161</v>
      </c>
      <c r="X8">
        <f t="shared" si="3"/>
        <v>14.423078213541805</v>
      </c>
      <c r="Z8" s="2">
        <v>35</v>
      </c>
      <c r="AA8">
        <f t="shared" si="5"/>
        <v>28.897104437935699</v>
      </c>
      <c r="AD8">
        <v>35</v>
      </c>
      <c r="AE8">
        <f>AE7</f>
        <v>10.3099031351238</v>
      </c>
    </row>
    <row r="9" spans="2:31" x14ac:dyDescent="0.25">
      <c r="B9">
        <v>31.720551292532502</v>
      </c>
      <c r="C9">
        <v>22.791878712710901</v>
      </c>
      <c r="H9">
        <f t="shared" si="0"/>
        <v>-5.3850887743324769</v>
      </c>
      <c r="I9">
        <f t="shared" si="1"/>
        <v>0.75571583973020751</v>
      </c>
      <c r="N9">
        <f t="shared" si="4"/>
        <v>-4.6293729346022694</v>
      </c>
      <c r="O9" s="8">
        <v>0</v>
      </c>
      <c r="P9">
        <v>-4.6293729346022694</v>
      </c>
      <c r="T9">
        <f t="shared" si="2"/>
        <v>3.4216232019220749</v>
      </c>
      <c r="X9">
        <f t="shared" si="3"/>
        <v>18.923453137111604</v>
      </c>
      <c r="Z9" s="2">
        <v>35</v>
      </c>
      <c r="AA9">
        <f t="shared" si="5"/>
        <v>15.727118493768799</v>
      </c>
    </row>
    <row r="10" spans="2:31" x14ac:dyDescent="0.25">
      <c r="B10">
        <v>45.0325495672149</v>
      </c>
      <c r="C10">
        <v>24.647522137499202</v>
      </c>
      <c r="H10">
        <f t="shared" si="0"/>
        <v>7.9269095003499217</v>
      </c>
      <c r="I10">
        <f t="shared" si="1"/>
        <v>2.6113592645185086</v>
      </c>
      <c r="N10">
        <f t="shared" si="4"/>
        <v>10.53826876486843</v>
      </c>
      <c r="O10" s="8">
        <v>0</v>
      </c>
      <c r="P10">
        <v>10.53826876486843</v>
      </c>
      <c r="T10">
        <f t="shared" si="2"/>
        <v>1.1476369440486809</v>
      </c>
      <c r="X10">
        <f t="shared" si="3"/>
        <v>25.945019799827026</v>
      </c>
      <c r="Z10" s="2">
        <v>35</v>
      </c>
      <c r="AA10">
        <f t="shared" si="5"/>
        <v>22.791878712710901</v>
      </c>
      <c r="AD10">
        <f>B26</f>
        <v>61.270687129238297</v>
      </c>
      <c r="AE10">
        <f>C26</f>
        <v>35.238949932839503</v>
      </c>
    </row>
    <row r="11" spans="2:31" x14ac:dyDescent="0.25">
      <c r="B11">
        <v>40.026853679818799</v>
      </c>
      <c r="C11">
        <v>24.280423759941598</v>
      </c>
      <c r="H11">
        <f t="shared" si="0"/>
        <v>2.9212136129538209</v>
      </c>
      <c r="I11">
        <f t="shared" si="1"/>
        <v>2.2442608869609053</v>
      </c>
      <c r="N11">
        <f t="shared" si="4"/>
        <v>5.1654744999147262</v>
      </c>
      <c r="O11" s="8">
        <v>0</v>
      </c>
      <c r="P11">
        <v>5.1654744999147262</v>
      </c>
      <c r="T11">
        <f t="shared" si="2"/>
        <v>0.86302086905157271</v>
      </c>
      <c r="X11">
        <f t="shared" si="3"/>
        <v>23.30470790664728</v>
      </c>
      <c r="Z11" s="2">
        <v>35</v>
      </c>
      <c r="AA11">
        <f t="shared" si="5"/>
        <v>24.647522137499202</v>
      </c>
      <c r="AD11">
        <v>35</v>
      </c>
      <c r="AE11">
        <f>AE10</f>
        <v>35.238949932839503</v>
      </c>
    </row>
    <row r="12" spans="2:31" x14ac:dyDescent="0.25">
      <c r="B12">
        <v>24.2797261933102</v>
      </c>
      <c r="C12">
        <v>13.094034569563499</v>
      </c>
      <c r="H12">
        <f t="shared" si="0"/>
        <v>-12.825913873554779</v>
      </c>
      <c r="I12">
        <f t="shared" si="1"/>
        <v>-8.9421283034171939</v>
      </c>
      <c r="N12">
        <f t="shared" si="4"/>
        <v>-21.768042176971974</v>
      </c>
      <c r="O12" s="8">
        <v>0</v>
      </c>
      <c r="P12">
        <v>-21.768042176971974</v>
      </c>
      <c r="T12">
        <f t="shared" si="2"/>
        <v>1.6846807799262995</v>
      </c>
      <c r="X12">
        <f t="shared" si="3"/>
        <v>14.998704321664359</v>
      </c>
      <c r="Z12" s="2">
        <v>35</v>
      </c>
      <c r="AA12">
        <f t="shared" si="5"/>
        <v>24.280423759941598</v>
      </c>
    </row>
    <row r="13" spans="2:31" x14ac:dyDescent="0.25">
      <c r="B13">
        <v>44.550326688238101</v>
      </c>
      <c r="C13">
        <v>26.121780502834401</v>
      </c>
      <c r="H13">
        <f t="shared" si="0"/>
        <v>7.4446866213731226</v>
      </c>
      <c r="I13">
        <f t="shared" si="1"/>
        <v>4.0856176298537079</v>
      </c>
      <c r="N13">
        <f t="shared" si="4"/>
        <v>11.530304251226831</v>
      </c>
      <c r="O13" s="8">
        <v>0</v>
      </c>
      <c r="P13">
        <v>11.530304251226831</v>
      </c>
      <c r="T13">
        <f t="shared" si="2"/>
        <v>0.38132104720998722</v>
      </c>
      <c r="X13">
        <f t="shared" si="3"/>
        <v>25.690665793677418</v>
      </c>
      <c r="Z13" s="2">
        <v>35</v>
      </c>
      <c r="AA13">
        <f t="shared" si="5"/>
        <v>13.094034569563499</v>
      </c>
    </row>
    <row r="14" spans="2:31" x14ac:dyDescent="0.25">
      <c r="B14">
        <v>43.459858713349199</v>
      </c>
      <c r="C14">
        <v>24.701866565856498</v>
      </c>
      <c r="H14">
        <f t="shared" si="0"/>
        <v>6.3542186464842203</v>
      </c>
      <c r="I14">
        <f t="shared" si="1"/>
        <v>2.6657036928758053</v>
      </c>
      <c r="N14">
        <f t="shared" si="4"/>
        <v>9.0199223393600256</v>
      </c>
      <c r="O14" s="8">
        <v>0</v>
      </c>
      <c r="P14">
        <v>9.0199223393600256</v>
      </c>
      <c r="T14">
        <f t="shared" si="2"/>
        <v>0.36584639597813029</v>
      </c>
      <c r="X14">
        <f t="shared" si="3"/>
        <v>25.115485912997826</v>
      </c>
      <c r="Z14" s="2">
        <v>35</v>
      </c>
      <c r="AA14">
        <f t="shared" si="5"/>
        <v>26.121780502834401</v>
      </c>
    </row>
    <row r="15" spans="2:31" x14ac:dyDescent="0.25">
      <c r="B15">
        <v>41.862174560330502</v>
      </c>
      <c r="C15">
        <v>23.927509195484799</v>
      </c>
      <c r="H15">
        <f t="shared" si="0"/>
        <v>4.7565344934655229</v>
      </c>
      <c r="I15">
        <f t="shared" si="1"/>
        <v>1.8913463225041056</v>
      </c>
      <c r="N15">
        <f t="shared" si="4"/>
        <v>6.6478808159696285</v>
      </c>
      <c r="O15" s="8">
        <v>0</v>
      </c>
      <c r="P15">
        <v>6.6478808159696285</v>
      </c>
      <c r="T15">
        <f t="shared" si="2"/>
        <v>0.30538238703423198</v>
      </c>
      <c r="X15">
        <f t="shared" si="3"/>
        <v>24.272769022948317</v>
      </c>
      <c r="Z15" s="2">
        <v>35</v>
      </c>
      <c r="AA15">
        <f t="shared" si="5"/>
        <v>24.701866565856498</v>
      </c>
    </row>
    <row r="16" spans="2:31" x14ac:dyDescent="0.25">
      <c r="B16">
        <v>38.265701987689198</v>
      </c>
      <c r="C16">
        <v>21.182513904366399</v>
      </c>
      <c r="H16">
        <f t="shared" si="0"/>
        <v>1.1600619208242193</v>
      </c>
      <c r="I16">
        <f t="shared" si="1"/>
        <v>-0.85364896861429429</v>
      </c>
      <c r="N16">
        <f t="shared" si="4"/>
        <v>0.30641295220992504</v>
      </c>
      <c r="O16" s="8">
        <v>0</v>
      </c>
      <c r="P16">
        <v>0.30641295220992504</v>
      </c>
      <c r="T16">
        <f t="shared" si="2"/>
        <v>1.0554336494154999</v>
      </c>
      <c r="X16">
        <f t="shared" si="3"/>
        <v>22.37576818217627</v>
      </c>
      <c r="Z16" s="2">
        <v>35</v>
      </c>
      <c r="AA16">
        <f t="shared" si="5"/>
        <v>23.927509195484799</v>
      </c>
    </row>
    <row r="17" spans="2:27" x14ac:dyDescent="0.25">
      <c r="B17">
        <v>19.194427779355799</v>
      </c>
      <c r="C17">
        <v>13.3364601859984</v>
      </c>
      <c r="H17">
        <f t="shared" si="0"/>
        <v>-17.91121228750918</v>
      </c>
      <c r="I17">
        <f t="shared" si="1"/>
        <v>-8.6997026869822935</v>
      </c>
      <c r="N17">
        <f t="shared" si="4"/>
        <v>-26.610914974491472</v>
      </c>
      <c r="O17" s="8">
        <v>0</v>
      </c>
      <c r="P17">
        <v>-26.610914974491472</v>
      </c>
      <c r="T17">
        <f t="shared" si="2"/>
        <v>0.9022388763267094</v>
      </c>
      <c r="X17">
        <f t="shared" si="3"/>
        <v>12.316405159915577</v>
      </c>
      <c r="Z17" s="2">
        <v>35</v>
      </c>
      <c r="AA17">
        <f t="shared" si="5"/>
        <v>21.182513904366399</v>
      </c>
    </row>
    <row r="18" spans="2:27" x14ac:dyDescent="0.25">
      <c r="B18" s="1">
        <v>10.199999999999999</v>
      </c>
      <c r="C18" s="1">
        <v>10.3099031351238</v>
      </c>
      <c r="H18">
        <f t="shared" si="0"/>
        <v>-26.905640066864979</v>
      </c>
      <c r="I18">
        <f t="shared" si="1"/>
        <v>-11.726259737856893</v>
      </c>
      <c r="N18">
        <f t="shared" si="4"/>
        <v>-38.631899804721868</v>
      </c>
      <c r="O18" s="8">
        <v>0</v>
      </c>
      <c r="P18">
        <v>-38.631899804721868</v>
      </c>
      <c r="T18">
        <f t="shared" si="2"/>
        <v>2.4215071705702234</v>
      </c>
      <c r="X18">
        <f t="shared" si="3"/>
        <v>7.5721907345097144</v>
      </c>
      <c r="Z18" s="2">
        <v>35</v>
      </c>
      <c r="AA18">
        <f t="shared" si="5"/>
        <v>13.3364601859984</v>
      </c>
    </row>
    <row r="19" spans="2:27" x14ac:dyDescent="0.25">
      <c r="B19">
        <v>42.194840103612997</v>
      </c>
      <c r="C19">
        <v>24.842921703187301</v>
      </c>
      <c r="H19">
        <f t="shared" si="0"/>
        <v>5.0892000367480179</v>
      </c>
      <c r="I19">
        <f t="shared" si="1"/>
        <v>2.8067588302066078</v>
      </c>
      <c r="N19">
        <f t="shared" si="4"/>
        <v>7.8959588669546257</v>
      </c>
      <c r="O19" s="8">
        <v>0</v>
      </c>
      <c r="P19">
        <v>7.8959588669546257</v>
      </c>
      <c r="T19">
        <f t="shared" si="2"/>
        <v>0.34909844172806576</v>
      </c>
      <c r="X19">
        <f t="shared" si="3"/>
        <v>24.448237291524411</v>
      </c>
      <c r="Z19" s="2">
        <v>35</v>
      </c>
      <c r="AA19">
        <f t="shared" si="5"/>
        <v>10.3099031351238</v>
      </c>
    </row>
    <row r="20" spans="2:27" x14ac:dyDescent="0.25">
      <c r="B20">
        <v>44.643137271610897</v>
      </c>
      <c r="C20">
        <v>26.707284124322399</v>
      </c>
      <c r="H20">
        <f t="shared" si="0"/>
        <v>7.5374972047459181</v>
      </c>
      <c r="I20">
        <f t="shared" si="1"/>
        <v>4.671121251341706</v>
      </c>
      <c r="N20">
        <f t="shared" si="4"/>
        <v>12.208618456087624</v>
      </c>
      <c r="O20" s="8">
        <v>0</v>
      </c>
      <c r="P20">
        <v>12.208618456087624</v>
      </c>
      <c r="T20">
        <f t="shared" si="2"/>
        <v>0.85589928669956594</v>
      </c>
      <c r="X20">
        <f t="shared" si="3"/>
        <v>25.739619803790006</v>
      </c>
      <c r="Z20" s="2">
        <v>35</v>
      </c>
      <c r="AA20">
        <f t="shared" si="5"/>
        <v>24.842921703187301</v>
      </c>
    </row>
    <row r="21" spans="2:27" x14ac:dyDescent="0.25">
      <c r="B21">
        <v>55.615473273795601</v>
      </c>
      <c r="C21">
        <v>30.194325410381801</v>
      </c>
      <c r="H21">
        <f t="shared" si="0"/>
        <v>18.509833206930622</v>
      </c>
      <c r="I21">
        <f t="shared" si="1"/>
        <v>8.1581625374011075</v>
      </c>
      <c r="N21">
        <f t="shared" si="4"/>
        <v>26.66799574433173</v>
      </c>
      <c r="O21" s="8">
        <v>0</v>
      </c>
      <c r="P21">
        <v>26.66799574433173</v>
      </c>
      <c r="T21">
        <f t="shared" si="2"/>
        <v>1.1788435326937414</v>
      </c>
      <c r="X21">
        <f t="shared" si="3"/>
        <v>31.527104679864365</v>
      </c>
      <c r="Z21" s="2">
        <v>35</v>
      </c>
      <c r="AA21">
        <f t="shared" si="5"/>
        <v>26.707284124322399</v>
      </c>
    </row>
    <row r="22" spans="2:27" x14ac:dyDescent="0.25">
      <c r="B22">
        <v>42.361100497280198</v>
      </c>
      <c r="C22">
        <v>23.334911220678901</v>
      </c>
      <c r="H22">
        <f t="shared" si="0"/>
        <v>5.2554604304152193</v>
      </c>
      <c r="I22">
        <f t="shared" si="1"/>
        <v>1.2987483476982078</v>
      </c>
      <c r="N22">
        <f t="shared" si="4"/>
        <v>6.5542087781134271</v>
      </c>
      <c r="O22" s="8">
        <v>0</v>
      </c>
      <c r="P22">
        <v>6.5542087781134271</v>
      </c>
      <c r="T22">
        <f t="shared" si="2"/>
        <v>1.0623042265016724</v>
      </c>
      <c r="X22">
        <f t="shared" si="3"/>
        <v>24.535933249217241</v>
      </c>
      <c r="Z22" s="2">
        <v>35</v>
      </c>
      <c r="AA22">
        <f t="shared" si="5"/>
        <v>30.194325410381801</v>
      </c>
    </row>
    <row r="23" spans="2:27" x14ac:dyDescent="0.25">
      <c r="B23">
        <v>42.085154843567501</v>
      </c>
      <c r="C23">
        <v>23.478168817882501</v>
      </c>
      <c r="H23">
        <f t="shared" si="0"/>
        <v>4.9795147767025227</v>
      </c>
      <c r="I23">
        <f t="shared" si="1"/>
        <v>1.4420059449018083</v>
      </c>
      <c r="N23">
        <f t="shared" si="4"/>
        <v>6.4215207216043311</v>
      </c>
      <c r="O23" s="8">
        <v>0</v>
      </c>
      <c r="P23">
        <v>6.4215207216043311</v>
      </c>
      <c r="T23">
        <f t="shared" si="2"/>
        <v>0.80685322036268003</v>
      </c>
      <c r="X23">
        <f t="shared" si="3"/>
        <v>24.390382539034587</v>
      </c>
      <c r="Z23" s="2">
        <v>35</v>
      </c>
      <c r="AA23">
        <f t="shared" si="5"/>
        <v>23.334911220678901</v>
      </c>
    </row>
    <row r="24" spans="2:27" x14ac:dyDescent="0.25">
      <c r="B24">
        <v>42.650011032040297</v>
      </c>
      <c r="C24">
        <v>23.919278141521001</v>
      </c>
      <c r="H24">
        <f t="shared" si="0"/>
        <v>5.5443709651753181</v>
      </c>
      <c r="I24">
        <f t="shared" si="1"/>
        <v>1.8831152685403083</v>
      </c>
      <c r="N24">
        <f t="shared" si="4"/>
        <v>7.4274862337156264</v>
      </c>
      <c r="O24" s="8">
        <v>0</v>
      </c>
      <c r="P24">
        <v>7.4274862337156264</v>
      </c>
      <c r="T24">
        <f t="shared" si="2"/>
        <v>0.68021983278394027</v>
      </c>
      <c r="X24">
        <f t="shared" si="3"/>
        <v>24.688322435087024</v>
      </c>
      <c r="Z24" s="2">
        <v>35</v>
      </c>
      <c r="AA24">
        <f t="shared" si="5"/>
        <v>23.478168817882501</v>
      </c>
    </row>
    <row r="25" spans="2:27" x14ac:dyDescent="0.25">
      <c r="B25">
        <v>40.830758782226198</v>
      </c>
      <c r="C25">
        <v>21.8384074015636</v>
      </c>
      <c r="H25">
        <f t="shared" si="0"/>
        <v>3.7251187153612193</v>
      </c>
      <c r="I25">
        <f t="shared" si="1"/>
        <v>-0.19775547141709282</v>
      </c>
      <c r="N25">
        <f t="shared" si="4"/>
        <v>3.5273632439441265</v>
      </c>
      <c r="O25" s="8">
        <v>0</v>
      </c>
      <c r="P25">
        <v>3.5273632439441265</v>
      </c>
      <c r="T25">
        <f t="shared" si="2"/>
        <v>1.6719968252670399</v>
      </c>
      <c r="X25">
        <f t="shared" si="3"/>
        <v>23.728736902938998</v>
      </c>
      <c r="Z25" s="2">
        <v>35</v>
      </c>
      <c r="AA25">
        <f t="shared" si="5"/>
        <v>23.919278141521001</v>
      </c>
    </row>
    <row r="26" spans="2:27" x14ac:dyDescent="0.25">
      <c r="B26">
        <v>61.270687129238297</v>
      </c>
      <c r="C26">
        <v>35.238949932839503</v>
      </c>
      <c r="H26">
        <f t="shared" si="0"/>
        <v>24.165047062373318</v>
      </c>
      <c r="I26">
        <f t="shared" si="1"/>
        <v>13.20278705985881</v>
      </c>
      <c r="N26">
        <f t="shared" si="4"/>
        <v>37.367834122232125</v>
      </c>
      <c r="O26" s="8">
        <v>0</v>
      </c>
      <c r="P26">
        <v>37.367834122232125</v>
      </c>
      <c r="T26">
        <f t="shared" si="2"/>
        <v>0.64474548427004552</v>
      </c>
      <c r="X26">
        <f t="shared" si="3"/>
        <v>34.510012298882224</v>
      </c>
      <c r="Z26" s="2">
        <v>35</v>
      </c>
      <c r="AA26">
        <f t="shared" si="5"/>
        <v>21.8384074015636</v>
      </c>
    </row>
    <row r="27" spans="2:27" x14ac:dyDescent="0.25">
      <c r="B27">
        <v>31.984896693862002</v>
      </c>
      <c r="C27">
        <v>18.547593277600502</v>
      </c>
      <c r="H27">
        <f t="shared" si="0"/>
        <v>-5.120743373002977</v>
      </c>
      <c r="I27">
        <f t="shared" si="1"/>
        <v>-3.4885695953801914</v>
      </c>
      <c r="N27">
        <f t="shared" si="4"/>
        <v>-8.6093129683831684</v>
      </c>
      <c r="O27" s="8">
        <v>0</v>
      </c>
      <c r="P27">
        <v>-8.6093129683831684</v>
      </c>
      <c r="T27">
        <f t="shared" si="2"/>
        <v>0.45577577453982826</v>
      </c>
      <c r="X27">
        <f t="shared" si="3"/>
        <v>19.062885160697981</v>
      </c>
      <c r="Z27" s="2">
        <v>35</v>
      </c>
      <c r="AA27">
        <f t="shared" si="5"/>
        <v>35.238949932839503</v>
      </c>
    </row>
    <row r="28" spans="2:27" x14ac:dyDescent="0.25">
      <c r="B28">
        <v>36.783854855923899</v>
      </c>
      <c r="C28">
        <v>21.414010884538701</v>
      </c>
      <c r="H28">
        <f t="shared" si="0"/>
        <v>-0.32178521094107992</v>
      </c>
      <c r="I28">
        <f t="shared" si="1"/>
        <v>-0.62215198844199193</v>
      </c>
      <c r="N28">
        <f t="shared" si="4"/>
        <v>-0.94393719938307186</v>
      </c>
      <c r="O28" s="8">
        <v>0</v>
      </c>
      <c r="P28">
        <v>-0.94393719938307186</v>
      </c>
      <c r="T28">
        <f t="shared" si="2"/>
        <v>0.15933384626817954</v>
      </c>
      <c r="X28">
        <f t="shared" si="3"/>
        <v>21.59415086185011</v>
      </c>
      <c r="Z28" s="2">
        <v>35</v>
      </c>
      <c r="AA28">
        <f t="shared" si="5"/>
        <v>18.547593277600502</v>
      </c>
    </row>
    <row r="29" spans="2:27" x14ac:dyDescent="0.25">
      <c r="B29">
        <v>30.1570898861812</v>
      </c>
      <c r="C29">
        <v>18.018244362032899</v>
      </c>
      <c r="H29">
        <f t="shared" si="0"/>
        <v>-6.9485501806837782</v>
      </c>
      <c r="I29">
        <f t="shared" si="1"/>
        <v>-4.0179185109477942</v>
      </c>
      <c r="N29">
        <f t="shared" si="4"/>
        <v>-10.966468691631572</v>
      </c>
      <c r="O29" s="8">
        <v>0</v>
      </c>
      <c r="P29">
        <v>-10.966468691631572</v>
      </c>
      <c r="T29">
        <f t="shared" si="2"/>
        <v>7.124035859963343E-2</v>
      </c>
      <c r="X29">
        <f t="shared" si="3"/>
        <v>18.098787428571281</v>
      </c>
      <c r="Z29" s="2">
        <v>35</v>
      </c>
      <c r="AA29">
        <f t="shared" si="5"/>
        <v>21.414010884538701</v>
      </c>
    </row>
    <row r="30" spans="2:27" x14ac:dyDescent="0.25">
      <c r="B30">
        <v>21.9632594412694</v>
      </c>
      <c r="C30">
        <v>13.745487042508101</v>
      </c>
      <c r="H30">
        <f t="shared" si="0"/>
        <v>-15.142380625595578</v>
      </c>
      <c r="I30">
        <f t="shared" si="1"/>
        <v>-8.2906758304725923</v>
      </c>
      <c r="N30">
        <f t="shared" si="4"/>
        <v>-23.433056456068172</v>
      </c>
      <c r="O30" s="8">
        <v>0</v>
      </c>
      <c r="P30">
        <v>-23.433056456068172</v>
      </c>
      <c r="T30">
        <f t="shared" si="2"/>
        <v>2.7746980667955889E-2</v>
      </c>
      <c r="X30">
        <f t="shared" si="3"/>
        <v>13.776857279184449</v>
      </c>
      <c r="Z30" s="2">
        <v>35</v>
      </c>
      <c r="AA30">
        <f t="shared" si="5"/>
        <v>18.018244362032899</v>
      </c>
    </row>
    <row r="31" spans="2:27" x14ac:dyDescent="0.25">
      <c r="B31">
        <v>23.727993551705101</v>
      </c>
      <c r="C31">
        <v>14.707475020029401</v>
      </c>
      <c r="H31">
        <f t="shared" si="0"/>
        <v>-13.377646515159878</v>
      </c>
      <c r="I31">
        <f t="shared" si="1"/>
        <v>-7.3286878529512922</v>
      </c>
      <c r="N31">
        <f t="shared" si="4"/>
        <v>-20.706334368111172</v>
      </c>
      <c r="O31" s="8">
        <v>0</v>
      </c>
      <c r="P31">
        <v>-20.706334368111172</v>
      </c>
      <c r="T31">
        <f t="shared" si="2"/>
        <v>1.871349302604486E-4</v>
      </c>
      <c r="X31">
        <f t="shared" si="3"/>
        <v>14.707686591411633</v>
      </c>
      <c r="Z31" s="2">
        <v>35</v>
      </c>
      <c r="AA31">
        <f t="shared" si="5"/>
        <v>13.745487042508101</v>
      </c>
    </row>
    <row r="32" spans="2:27" x14ac:dyDescent="0.25">
      <c r="Z32" s="2">
        <v>35</v>
      </c>
      <c r="AA32">
        <f t="shared" si="5"/>
        <v>14.707475020029401</v>
      </c>
    </row>
    <row r="33" spans="11:27" x14ac:dyDescent="0.25">
      <c r="Z33" s="2">
        <v>35</v>
      </c>
      <c r="AA33">
        <v>35</v>
      </c>
    </row>
    <row r="34" spans="11:27" x14ac:dyDescent="0.25">
      <c r="U34" t="s">
        <v>23</v>
      </c>
    </row>
    <row r="35" spans="11:27" x14ac:dyDescent="0.25">
      <c r="U35" t="s">
        <v>24</v>
      </c>
    </row>
    <row r="37" spans="11:27" x14ac:dyDescent="0.25">
      <c r="K37" t="s">
        <v>2</v>
      </c>
    </row>
    <row r="39" spans="11:27" x14ac:dyDescent="0.25">
      <c r="K39" t="b">
        <v>0</v>
      </c>
    </row>
  </sheetData>
  <mergeCells count="3">
    <mergeCell ref="K3:L4"/>
    <mergeCell ref="K5:L6"/>
    <mergeCell ref="AC1:AE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heckBox1">
          <controlPr autoLine="0" linkedCell="ShowProjection" r:id="rId4">
            <anchor moveWithCells="1">
              <from>
                <xdr:col>8</xdr:col>
                <xdr:colOff>733425</xdr:colOff>
                <xdr:row>37</xdr:row>
                <xdr:rowOff>142875</xdr:rowOff>
              </from>
              <to>
                <xdr:col>11</xdr:col>
                <xdr:colOff>295275</xdr:colOff>
                <xdr:row>39</xdr:row>
                <xdr:rowOff>28575</xdr:rowOff>
              </to>
            </anchor>
          </controlPr>
        </control>
      </mc:Choice>
      <mc:Fallback>
        <control shapeId="4097" r:id="rId3" name="Check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PCAMinDist"/>
  <dimension ref="B1:AG39"/>
  <sheetViews>
    <sheetView showGridLines="0" workbookViewId="0">
      <selection activeCell="AG2" sqref="AG2"/>
    </sheetView>
  </sheetViews>
  <sheetFormatPr defaultRowHeight="15" x14ac:dyDescent="0.25"/>
  <cols>
    <col min="1" max="1" width="2.42578125" customWidth="1"/>
    <col min="3" max="3" width="9.140625" customWidth="1"/>
    <col min="4" max="4" width="2.140625" customWidth="1"/>
    <col min="5" max="6" width="9.140625" customWidth="1"/>
    <col min="7" max="7" width="2.42578125" customWidth="1"/>
    <col min="8" max="9" width="12" customWidth="1"/>
    <col min="10" max="10" width="3" customWidth="1"/>
    <col min="11" max="12" width="12.140625" customWidth="1"/>
    <col min="13" max="13" width="2.85546875" customWidth="1"/>
    <col min="15" max="15" width="2" customWidth="1"/>
    <col min="16" max="16" width="11.28515625" customWidth="1"/>
    <col min="17" max="17" width="2.28515625" customWidth="1"/>
    <col min="18" max="19" width="12" customWidth="1"/>
    <col min="21" max="21" width="2.140625" customWidth="1"/>
    <col min="22" max="22" width="9.140625" customWidth="1"/>
    <col min="23" max="23" width="2.140625" customWidth="1"/>
    <col min="25" max="25" width="2.85546875" customWidth="1"/>
    <col min="28" max="28" width="4.7109375" customWidth="1"/>
    <col min="29" max="29" width="12" bestFit="1" customWidth="1"/>
  </cols>
  <sheetData>
    <row r="1" spans="2:33" ht="18.75" x14ac:dyDescent="0.35">
      <c r="B1" s="4" t="s">
        <v>1</v>
      </c>
      <c r="C1" s="4" t="s">
        <v>0</v>
      </c>
      <c r="D1" s="4"/>
      <c r="E1" s="4" t="s">
        <v>17</v>
      </c>
      <c r="F1" s="4" t="s">
        <v>16</v>
      </c>
      <c r="G1" s="4"/>
      <c r="H1" s="4" t="s">
        <v>10</v>
      </c>
      <c r="I1" s="4" t="s">
        <v>11</v>
      </c>
      <c r="J1" s="4"/>
      <c r="K1" s="4" t="s">
        <v>13</v>
      </c>
      <c r="L1" s="4" t="s">
        <v>12</v>
      </c>
      <c r="M1" s="4"/>
      <c r="N1" s="4" t="s">
        <v>2</v>
      </c>
      <c r="O1" s="4"/>
      <c r="P1" s="4" t="s">
        <v>42</v>
      </c>
      <c r="Q1" s="4"/>
      <c r="R1" s="4" t="s">
        <v>14</v>
      </c>
      <c r="S1" s="4" t="s">
        <v>15</v>
      </c>
      <c r="T1" s="4" t="s">
        <v>4</v>
      </c>
      <c r="U1" s="4"/>
      <c r="V1" s="4" t="s">
        <v>20</v>
      </c>
      <c r="W1" s="4"/>
      <c r="X1" s="4" t="s">
        <v>3</v>
      </c>
      <c r="Y1" s="3"/>
      <c r="Z1" s="3" t="s">
        <v>8</v>
      </c>
      <c r="AA1" s="3" t="s">
        <v>9</v>
      </c>
      <c r="AC1" s="3" t="s">
        <v>22</v>
      </c>
      <c r="AG1" s="12" t="s">
        <v>83</v>
      </c>
    </row>
    <row r="2" spans="2:33" x14ac:dyDescent="0.25">
      <c r="B2">
        <v>31.280299760875302</v>
      </c>
      <c r="C2">
        <v>21.3677645480496</v>
      </c>
      <c r="E2">
        <f>AVERAGE($B$2:$B$31)</f>
        <v>37.105640066864979</v>
      </c>
      <c r="F2">
        <f>AVERAGE($C$2:$C$31)</f>
        <v>22.036162872980693</v>
      </c>
      <c r="H2">
        <f t="shared" ref="H2:H31" si="0">B2-E$2</f>
        <v>-5.8253403059896769</v>
      </c>
      <c r="I2">
        <f t="shared" ref="I2:I31" si="1">C2-F$2</f>
        <v>-0.66839832493109341</v>
      </c>
      <c r="K2" s="2">
        <v>0.8962300101222811</v>
      </c>
      <c r="L2" s="2">
        <v>0.4435907304317917</v>
      </c>
      <c r="N2">
        <f t="shared" ref="N2:N31" si="2">phi_01*H2+phi_02*I2</f>
        <v>-5.5173401025784301</v>
      </c>
      <c r="O2">
        <v>0</v>
      </c>
      <c r="P2">
        <f t="array" ref="P2:P31">MMULT(H2:I31,TRANSPOSE(K2:L2))</f>
        <v>-5.5173401025784301</v>
      </c>
      <c r="R2" s="7">
        <v>100</v>
      </c>
      <c r="S2" s="7">
        <v>100</v>
      </c>
      <c r="T2">
        <f t="shared" ref="T2:T31" si="3">ABS(R$2*B2-C2+S$2)/SQRT(R$2^2+1)</f>
        <v>32.065018904528849</v>
      </c>
      <c r="V2" s="5">
        <f>SUM(T2:T31)</f>
        <v>1136.5015294881364</v>
      </c>
      <c r="X2">
        <f t="shared" ref="X2:X31" si="4">R$2*B2+S$2</f>
        <v>3228.02997608753</v>
      </c>
      <c r="Z2">
        <v>35</v>
      </c>
      <c r="AA2">
        <v>40</v>
      </c>
      <c r="AG2">
        <f t="array" ref="AG2:AG31">MMULT(N2:N31,ph1ph2)</f>
        <v>-4.9448057759819335</v>
      </c>
    </row>
    <row r="3" spans="2:33" ht="15" customHeight="1" x14ac:dyDescent="0.25">
      <c r="B3">
        <v>41.960531487646797</v>
      </c>
      <c r="C3">
        <v>25.485458828518301</v>
      </c>
      <c r="H3">
        <f t="shared" si="0"/>
        <v>4.8548914207818186</v>
      </c>
      <c r="I3">
        <f t="shared" si="1"/>
        <v>3.4492959555376075</v>
      </c>
      <c r="K3" s="28" t="s">
        <v>38</v>
      </c>
      <c r="L3" s="28"/>
      <c r="N3">
        <f t="shared" si="2"/>
        <v>5.881175099582217</v>
      </c>
      <c r="O3">
        <v>0</v>
      </c>
      <c r="P3">
        <v>5.881175099582217</v>
      </c>
      <c r="T3">
        <f t="shared" si="3"/>
        <v>42.70354177564959</v>
      </c>
      <c r="X3">
        <f t="shared" si="4"/>
        <v>4296.0531487646795</v>
      </c>
      <c r="Z3">
        <v>35</v>
      </c>
      <c r="AA3">
        <f>C2</f>
        <v>21.3677645480496</v>
      </c>
      <c r="AD3" s="2" t="s">
        <v>5</v>
      </c>
      <c r="AE3" s="2" t="s">
        <v>6</v>
      </c>
      <c r="AG3">
        <v>5.2708856190294782</v>
      </c>
    </row>
    <row r="4" spans="2:33" ht="15" customHeight="1" x14ac:dyDescent="0.25">
      <c r="B4">
        <v>46.7670060372349</v>
      </c>
      <c r="C4">
        <v>26.945025046737701</v>
      </c>
      <c r="H4">
        <f t="shared" si="0"/>
        <v>9.6613659703699213</v>
      </c>
      <c r="I4">
        <f t="shared" si="1"/>
        <v>4.908862173757008</v>
      </c>
      <c r="K4" s="28"/>
      <c r="L4" s="28"/>
      <c r="N4">
        <f t="shared" si="2"/>
        <v>10.836331878665559</v>
      </c>
      <c r="O4">
        <v>0</v>
      </c>
      <c r="P4">
        <v>10.836331878665559</v>
      </c>
      <c r="R4" s="3" t="s">
        <v>21</v>
      </c>
      <c r="S4" s="3" t="s">
        <v>21</v>
      </c>
      <c r="T4">
        <f t="shared" si="3"/>
        <v>47.495181087079168</v>
      </c>
      <c r="X4">
        <f t="shared" si="4"/>
        <v>4776.7006037234896</v>
      </c>
      <c r="Z4">
        <v>35</v>
      </c>
      <c r="AA4">
        <f t="shared" ref="AA4:AA32" si="5">C3</f>
        <v>25.485458828518301</v>
      </c>
      <c r="AD4">
        <v>33.22</v>
      </c>
      <c r="AE4" s="2">
        <f>R6*AD4+S6</f>
        <v>22.776884225636227</v>
      </c>
      <c r="AG4">
        <v>9.7118458293048313</v>
      </c>
    </row>
    <row r="5" spans="2:33" x14ac:dyDescent="0.25">
      <c r="B5">
        <v>31.390699227039502</v>
      </c>
      <c r="C5">
        <v>20.0803514320312</v>
      </c>
      <c r="H5">
        <f t="shared" si="0"/>
        <v>-5.7149408398254771</v>
      </c>
      <c r="I5">
        <f t="shared" si="1"/>
        <v>-1.9558114409494927</v>
      </c>
      <c r="K5" s="29"/>
      <c r="L5" s="29"/>
      <c r="N5">
        <f t="shared" si="2"/>
        <v>-5.9894813124026651</v>
      </c>
      <c r="O5">
        <v>0</v>
      </c>
      <c r="P5">
        <v>-5.9894813124026651</v>
      </c>
      <c r="R5" s="4" t="s">
        <v>14</v>
      </c>
      <c r="S5" s="4" t="s">
        <v>15</v>
      </c>
      <c r="T5">
        <f t="shared" si="3"/>
        <v>32.188286338635599</v>
      </c>
      <c r="X5">
        <f t="shared" si="4"/>
        <v>3239.0699227039499</v>
      </c>
      <c r="Z5">
        <v>35</v>
      </c>
      <c r="AA5">
        <f t="shared" si="5"/>
        <v>26.945025046737701</v>
      </c>
      <c r="AC5" t="s">
        <v>7</v>
      </c>
      <c r="AD5">
        <f>B9</f>
        <v>31.720551292532502</v>
      </c>
      <c r="AE5">
        <f>C9</f>
        <v>22.791878712710901</v>
      </c>
      <c r="AG5">
        <v>-5.367952897241854</v>
      </c>
    </row>
    <row r="6" spans="2:33" x14ac:dyDescent="0.25">
      <c r="B6">
        <v>35.522478207643999</v>
      </c>
      <c r="C6">
        <v>22.2011133939133</v>
      </c>
      <c r="H6">
        <f t="shared" si="0"/>
        <v>-1.5831618592209793</v>
      </c>
      <c r="I6">
        <f t="shared" si="1"/>
        <v>0.16495052093260654</v>
      </c>
      <c r="K6" s="29"/>
      <c r="L6" s="29"/>
      <c r="N6">
        <f t="shared" si="2"/>
        <v>-1.3457066470492283</v>
      </c>
      <c r="O6">
        <v>0</v>
      </c>
      <c r="P6">
        <v>-1.3457066470492283</v>
      </c>
      <c r="R6">
        <f>-1/R2</f>
        <v>-0.01</v>
      </c>
      <c r="S6">
        <f>AE5+AD5/R2</f>
        <v>23.109084225636227</v>
      </c>
      <c r="T6">
        <f t="shared" si="3"/>
        <v>36.29865218646659</v>
      </c>
      <c r="X6">
        <f t="shared" si="4"/>
        <v>3652.2478207643999</v>
      </c>
      <c r="Z6">
        <v>35</v>
      </c>
      <c r="AA6">
        <f t="shared" si="5"/>
        <v>20.0803514320312</v>
      </c>
      <c r="AG6">
        <v>-1.2060626819065507</v>
      </c>
    </row>
    <row r="7" spans="2:33" x14ac:dyDescent="0.25">
      <c r="B7">
        <v>48.1993472334714</v>
      </c>
      <c r="C7">
        <v>28.897104437935699</v>
      </c>
      <c r="H7">
        <f t="shared" si="0"/>
        <v>11.093707166606421</v>
      </c>
      <c r="I7">
        <f t="shared" si="1"/>
        <v>6.8609415649550058</v>
      </c>
      <c r="K7" s="4" t="s">
        <v>18</v>
      </c>
      <c r="L7" s="4" t="s">
        <v>19</v>
      </c>
      <c r="N7">
        <f t="shared" si="2"/>
        <v>12.985963366469527</v>
      </c>
      <c r="O7">
        <v>0</v>
      </c>
      <c r="P7">
        <v>12.985963366469527</v>
      </c>
      <c r="T7">
        <f t="shared" si="3"/>
        <v>48.907930853681215</v>
      </c>
      <c r="X7">
        <f t="shared" si="4"/>
        <v>4919.9347233471399</v>
      </c>
      <c r="Z7">
        <v>35</v>
      </c>
      <c r="AA7">
        <f t="shared" si="5"/>
        <v>22.2011133939133</v>
      </c>
      <c r="AD7" s="1">
        <f>B18</f>
        <v>10.199999999999999</v>
      </c>
      <c r="AE7" s="1">
        <f>C18</f>
        <v>10.3099031351238</v>
      </c>
      <c r="AG7">
        <v>11.638410079378556</v>
      </c>
    </row>
    <row r="8" spans="2:33" x14ac:dyDescent="0.25">
      <c r="B8">
        <v>23.188412227884399</v>
      </c>
      <c r="C8">
        <v>15.727118493768799</v>
      </c>
      <c r="H8">
        <f t="shared" si="0"/>
        <v>-13.91722783898058</v>
      </c>
      <c r="I8">
        <f t="shared" si="1"/>
        <v>-6.309044379211894</v>
      </c>
      <c r="K8">
        <f>SQRT(phi_01^2+phi_02^2)</f>
        <v>1.0000004835842804</v>
      </c>
      <c r="L8">
        <f>_xlfn.VAR.S(N2:N31)</f>
        <v>150.73639805787363</v>
      </c>
      <c r="N8">
        <f t="shared" si="2"/>
        <v>-15.271670851504851</v>
      </c>
      <c r="O8">
        <v>0</v>
      </c>
      <c r="P8">
        <v>-15.271670851504851</v>
      </c>
      <c r="T8">
        <f t="shared" si="3"/>
        <v>24.029939576003834</v>
      </c>
      <c r="X8">
        <f t="shared" si="4"/>
        <v>2418.8412227884401</v>
      </c>
      <c r="Z8">
        <v>35</v>
      </c>
      <c r="AA8">
        <f t="shared" si="5"/>
        <v>28.897104437935699</v>
      </c>
      <c r="AD8">
        <v>35</v>
      </c>
      <c r="AE8">
        <f>AE7</f>
        <v>10.3099031351238</v>
      </c>
      <c r="AG8">
        <v>-13.686929721828339</v>
      </c>
    </row>
    <row r="9" spans="2:33" x14ac:dyDescent="0.25">
      <c r="B9">
        <v>31.720551292532502</v>
      </c>
      <c r="C9">
        <v>22.791878712710901</v>
      </c>
      <c r="H9">
        <f t="shared" si="0"/>
        <v>-5.3850887743324769</v>
      </c>
      <c r="I9">
        <f t="shared" si="1"/>
        <v>0.75571583973020751</v>
      </c>
      <c r="N9">
        <f t="shared" si="2"/>
        <v>-4.4910496253845809</v>
      </c>
      <c r="O9">
        <v>0</v>
      </c>
      <c r="P9">
        <v>-4.4910496253845809</v>
      </c>
      <c r="T9">
        <f t="shared" si="3"/>
        <v>32.491007995617338</v>
      </c>
      <c r="X9">
        <f t="shared" si="4"/>
        <v>3272.05512925325</v>
      </c>
      <c r="Z9">
        <v>35</v>
      </c>
      <c r="AA9">
        <f t="shared" si="5"/>
        <v>15.727118493768799</v>
      </c>
      <c r="AG9">
        <v>-4.02501345121809</v>
      </c>
    </row>
    <row r="10" spans="2:33" x14ac:dyDescent="0.25">
      <c r="B10">
        <v>45.0325495672149</v>
      </c>
      <c r="C10">
        <v>24.647522137499202</v>
      </c>
      <c r="H10">
        <f t="shared" si="0"/>
        <v>7.9269095003499217</v>
      </c>
      <c r="I10">
        <f t="shared" si="1"/>
        <v>2.6113592645185086</v>
      </c>
      <c r="N10">
        <f t="shared" si="2"/>
        <v>8.2627089453046079</v>
      </c>
      <c r="O10">
        <v>0</v>
      </c>
      <c r="P10">
        <v>8.2627089453046079</v>
      </c>
      <c r="T10">
        <f t="shared" si="3"/>
        <v>45.783785213806084</v>
      </c>
      <c r="X10">
        <f t="shared" si="4"/>
        <v>4603.2549567214901</v>
      </c>
      <c r="Z10">
        <v>35</v>
      </c>
      <c r="AA10">
        <f t="shared" si="5"/>
        <v>22.791878712710901</v>
      </c>
      <c r="AD10">
        <f>B26</f>
        <v>61.270687129238297</v>
      </c>
      <c r="AE10">
        <f>C26</f>
        <v>35.238949932839503</v>
      </c>
      <c r="AG10">
        <v>7.4052877216878112</v>
      </c>
    </row>
    <row r="11" spans="2:33" x14ac:dyDescent="0.25">
      <c r="B11">
        <v>40.026853679818799</v>
      </c>
      <c r="C11">
        <v>24.280423759941598</v>
      </c>
      <c r="H11">
        <f t="shared" si="0"/>
        <v>2.9212136129538209</v>
      </c>
      <c r="I11">
        <f t="shared" si="1"/>
        <v>2.2442608869609053</v>
      </c>
      <c r="N11">
        <f t="shared" si="2"/>
        <v>3.613612632033437</v>
      </c>
      <c r="O11">
        <v>0</v>
      </c>
      <c r="P11">
        <v>3.613612632033437</v>
      </c>
      <c r="T11">
        <f t="shared" si="3"/>
        <v>40.782010392674714</v>
      </c>
      <c r="X11">
        <f t="shared" si="4"/>
        <v>4102.6853679818796</v>
      </c>
      <c r="Z11">
        <v>35</v>
      </c>
      <c r="AA11">
        <f t="shared" si="5"/>
        <v>24.647522137499202</v>
      </c>
      <c r="AD11">
        <v>35</v>
      </c>
      <c r="AE11">
        <f>AE10</f>
        <v>35.238949932839503</v>
      </c>
      <c r="AG11">
        <v>3.2386280857853302</v>
      </c>
    </row>
    <row r="12" spans="2:33" x14ac:dyDescent="0.25">
      <c r="B12">
        <v>24.2797261933102</v>
      </c>
      <c r="C12">
        <v>13.094034569563499</v>
      </c>
      <c r="H12">
        <f t="shared" si="0"/>
        <v>-12.825913873554779</v>
      </c>
      <c r="I12">
        <f t="shared" si="1"/>
        <v>-8.9421283034171939</v>
      </c>
      <c r="N12">
        <f t="shared" si="2"/>
        <v>-15.461614146451137</v>
      </c>
      <c r="O12">
        <v>0</v>
      </c>
      <c r="P12">
        <v>-15.461614146451137</v>
      </c>
      <c r="T12">
        <f t="shared" si="3"/>
        <v>25.147528502622272</v>
      </c>
      <c r="X12">
        <f t="shared" si="4"/>
        <v>2527.9726193310198</v>
      </c>
      <c r="Z12">
        <v>35</v>
      </c>
      <c r="AA12">
        <f t="shared" si="5"/>
        <v>24.280423759941598</v>
      </c>
      <c r="AG12">
        <v>-13.857162602980706</v>
      </c>
    </row>
    <row r="13" spans="2:33" x14ac:dyDescent="0.25">
      <c r="B13">
        <v>44.550326688238101</v>
      </c>
      <c r="C13">
        <v>26.121780502834401</v>
      </c>
      <c r="H13">
        <f t="shared" si="0"/>
        <v>7.4446866213731226</v>
      </c>
      <c r="I13">
        <f t="shared" si="1"/>
        <v>4.0856176298537079</v>
      </c>
      <c r="N13">
        <f t="shared" si="2"/>
        <v>8.4844936747222555</v>
      </c>
      <c r="O13">
        <v>0</v>
      </c>
      <c r="P13">
        <v>8.4844936747222555</v>
      </c>
      <c r="T13">
        <f t="shared" si="3"/>
        <v>45.286844597585599</v>
      </c>
      <c r="X13">
        <f t="shared" si="4"/>
        <v>4555.0326688238101</v>
      </c>
      <c r="Z13">
        <v>35</v>
      </c>
      <c r="AA13">
        <f t="shared" si="5"/>
        <v>13.094034569563499</v>
      </c>
      <c r="AG13">
        <v>7.6040578519787569</v>
      </c>
    </row>
    <row r="14" spans="2:33" x14ac:dyDescent="0.25">
      <c r="B14">
        <v>43.459858713349199</v>
      </c>
      <c r="C14">
        <v>24.701866565856498</v>
      </c>
      <c r="H14">
        <f t="shared" si="0"/>
        <v>6.3542186464842203</v>
      </c>
      <c r="I14">
        <f t="shared" si="1"/>
        <v>2.6657036928758053</v>
      </c>
      <c r="N14">
        <f t="shared" si="2"/>
        <v>6.8773228900952432</v>
      </c>
      <c r="O14">
        <v>0</v>
      </c>
      <c r="P14">
        <v>6.8773228900952432</v>
      </c>
      <c r="T14">
        <f t="shared" si="3"/>
        <v>44.210629571472587</v>
      </c>
      <c r="X14">
        <f t="shared" si="4"/>
        <v>4445.9858713349195</v>
      </c>
      <c r="Z14">
        <v>35</v>
      </c>
      <c r="AA14">
        <f t="shared" si="5"/>
        <v>26.121780502834401</v>
      </c>
      <c r="AG14">
        <v>6.1636631634042551</v>
      </c>
    </row>
    <row r="15" spans="2:33" x14ac:dyDescent="0.25">
      <c r="B15">
        <v>41.862174560330502</v>
      </c>
      <c r="C15">
        <v>23.927509195484799</v>
      </c>
      <c r="H15">
        <f t="shared" si="0"/>
        <v>4.7565344934655229</v>
      </c>
      <c r="I15">
        <f t="shared" si="1"/>
        <v>1.8913463225041056</v>
      </c>
      <c r="N15">
        <f t="shared" si="2"/>
        <v>5.1019326539246643</v>
      </c>
      <c r="O15">
        <v>0</v>
      </c>
      <c r="P15">
        <v>5.1019326539246643</v>
      </c>
      <c r="T15">
        <f t="shared" si="3"/>
        <v>42.620768483224786</v>
      </c>
      <c r="X15">
        <f t="shared" si="4"/>
        <v>4286.2174560330504</v>
      </c>
      <c r="Z15">
        <v>35</v>
      </c>
      <c r="AA15">
        <f t="shared" si="5"/>
        <v>24.701866565856498</v>
      </c>
      <c r="AG15">
        <v>4.5725051540700985</v>
      </c>
    </row>
    <row r="16" spans="2:33" x14ac:dyDescent="0.25">
      <c r="B16">
        <v>38.265701987689198</v>
      </c>
      <c r="C16">
        <v>21.182513904366399</v>
      </c>
      <c r="H16">
        <f t="shared" si="0"/>
        <v>1.1600619208242193</v>
      </c>
      <c r="I16">
        <f t="shared" si="1"/>
        <v>-0.85364896861429429</v>
      </c>
      <c r="N16">
        <f t="shared" si="2"/>
        <v>0.66101153752280251</v>
      </c>
      <c r="O16">
        <v>0</v>
      </c>
      <c r="P16">
        <v>0.66101153752280251</v>
      </c>
      <c r="T16">
        <f t="shared" si="3"/>
        <v>39.051924301242941</v>
      </c>
      <c r="X16">
        <f t="shared" si="4"/>
        <v>3926.5701987689199</v>
      </c>
      <c r="Z16">
        <v>35</v>
      </c>
      <c r="AA16">
        <f t="shared" si="5"/>
        <v>23.927509195484799</v>
      </c>
      <c r="AG16">
        <v>0.59241837696500588</v>
      </c>
    </row>
    <row r="17" spans="2:33" x14ac:dyDescent="0.25">
      <c r="B17">
        <v>19.194427779355799</v>
      </c>
      <c r="C17">
        <v>13.3364601859984</v>
      </c>
      <c r="H17">
        <f t="shared" si="0"/>
        <v>-17.91121228750918</v>
      </c>
      <c r="I17">
        <f t="shared" si="1"/>
        <v>-8.6997026869822935</v>
      </c>
      <c r="N17">
        <f t="shared" si="2"/>
        <v>-19.911673439194573</v>
      </c>
      <c r="O17">
        <v>0</v>
      </c>
      <c r="P17">
        <v>-19.911673439194573</v>
      </c>
      <c r="T17">
        <f t="shared" si="3"/>
        <v>20.060060199559658</v>
      </c>
      <c r="X17">
        <f t="shared" si="4"/>
        <v>2019.4427779355799</v>
      </c>
      <c r="Z17">
        <v>35</v>
      </c>
      <c r="AA17">
        <f t="shared" si="5"/>
        <v>21.182513904366399</v>
      </c>
      <c r="AG17">
        <v>-17.845439287960907</v>
      </c>
    </row>
    <row r="18" spans="2:33" x14ac:dyDescent="0.25">
      <c r="B18" s="1">
        <v>10.199999999999999</v>
      </c>
      <c r="C18" s="1">
        <v>10.3099031351238</v>
      </c>
      <c r="H18">
        <f t="shared" si="0"/>
        <v>-26.905640066864979</v>
      </c>
      <c r="I18">
        <f t="shared" si="1"/>
        <v>-11.726259737856893</v>
      </c>
      <c r="N18">
        <f t="shared" si="2"/>
        <v>-29.315302191821701</v>
      </c>
      <c r="O18">
        <v>0</v>
      </c>
      <c r="P18">
        <v>-29.315302191821701</v>
      </c>
      <c r="T18">
        <f t="shared" si="3"/>
        <v>11.096346165210239</v>
      </c>
      <c r="X18">
        <f t="shared" si="4"/>
        <v>1120</v>
      </c>
      <c r="Z18">
        <v>35</v>
      </c>
      <c r="AA18">
        <f t="shared" si="5"/>
        <v>13.3364601859984</v>
      </c>
      <c r="AG18">
        <v>-26.273253580114091</v>
      </c>
    </row>
    <row r="19" spans="2:33" x14ac:dyDescent="0.25">
      <c r="B19">
        <v>42.194840103612997</v>
      </c>
      <c r="C19">
        <v>24.842921703187301</v>
      </c>
      <c r="H19">
        <f t="shared" si="0"/>
        <v>5.0892000367480179</v>
      </c>
      <c r="I19">
        <f t="shared" si="1"/>
        <v>2.8067588302066078</v>
      </c>
      <c r="N19">
        <f t="shared" si="2"/>
        <v>5.8061460000862199</v>
      </c>
      <c r="O19">
        <v>0</v>
      </c>
      <c r="P19">
        <v>5.8061460000862199</v>
      </c>
      <c r="T19">
        <f t="shared" si="3"/>
        <v>42.944263727072418</v>
      </c>
      <c r="X19">
        <f t="shared" si="4"/>
        <v>4319.4840103612996</v>
      </c>
      <c r="Z19">
        <v>35</v>
      </c>
      <c r="AA19">
        <f t="shared" si="5"/>
        <v>10.3099031351238</v>
      </c>
      <c r="AG19">
        <v>5.203642288428715</v>
      </c>
    </row>
    <row r="20" spans="2:33" x14ac:dyDescent="0.25">
      <c r="B20">
        <v>44.643137271610897</v>
      </c>
      <c r="C20">
        <v>26.707284124322399</v>
      </c>
      <c r="H20">
        <f t="shared" si="0"/>
        <v>7.5374972047459181</v>
      </c>
      <c r="I20">
        <f t="shared" si="1"/>
        <v>4.671121251341706</v>
      </c>
      <c r="N20">
        <f t="shared" si="2"/>
        <v>8.8273972839242312</v>
      </c>
      <c r="O20">
        <v>0</v>
      </c>
      <c r="P20">
        <v>8.8273972839242312</v>
      </c>
      <c r="T20">
        <f t="shared" si="3"/>
        <v>45.373795797292217</v>
      </c>
      <c r="X20">
        <f t="shared" si="4"/>
        <v>4564.3137271610894</v>
      </c>
      <c r="Z20">
        <v>35</v>
      </c>
      <c r="AA20">
        <f t="shared" si="5"/>
        <v>24.842921703187301</v>
      </c>
      <c r="AG20">
        <v>7.9113783571248106</v>
      </c>
    </row>
    <row r="21" spans="2:33" x14ac:dyDescent="0.25">
      <c r="B21">
        <v>55.615473273795601</v>
      </c>
      <c r="C21">
        <v>30.194325410381801</v>
      </c>
      <c r="H21">
        <f t="shared" si="0"/>
        <v>18.509833206930622</v>
      </c>
      <c r="I21">
        <f t="shared" si="1"/>
        <v>8.1581625374011075</v>
      </c>
      <c r="N21">
        <f t="shared" si="2"/>
        <v>20.207953281356204</v>
      </c>
      <c r="O21">
        <v>0</v>
      </c>
      <c r="P21">
        <v>20.207953281356204</v>
      </c>
      <c r="T21">
        <f t="shared" si="3"/>
        <v>56.310714554348934</v>
      </c>
      <c r="X21">
        <f t="shared" si="4"/>
        <v>5661.5473273795596</v>
      </c>
      <c r="Z21">
        <v>35</v>
      </c>
      <c r="AA21">
        <f t="shared" si="5"/>
        <v>26.707284124322399</v>
      </c>
      <c r="AG21">
        <v>18.110974173900455</v>
      </c>
    </row>
    <row r="22" spans="2:33" x14ac:dyDescent="0.25">
      <c r="B22">
        <v>42.361100497280198</v>
      </c>
      <c r="C22">
        <v>23.334911220678901</v>
      </c>
      <c r="H22">
        <f t="shared" si="0"/>
        <v>5.2554604304152193</v>
      </c>
      <c r="I22">
        <f t="shared" si="1"/>
        <v>1.2987483476982078</v>
      </c>
      <c r="N22">
        <f t="shared" si="2"/>
        <v>5.28621408295081</v>
      </c>
      <c r="O22">
        <v>0</v>
      </c>
      <c r="P22">
        <v>5.28621408295081</v>
      </c>
      <c r="T22">
        <f t="shared" si="3"/>
        <v>43.125595159219742</v>
      </c>
      <c r="X22">
        <f t="shared" si="4"/>
        <v>4336.1100497280195</v>
      </c>
      <c r="Z22">
        <v>35</v>
      </c>
      <c r="AA22">
        <f t="shared" si="5"/>
        <v>30.194325410381801</v>
      </c>
      <c r="AG22">
        <v>4.7376637010715497</v>
      </c>
    </row>
    <row r="23" spans="2:33" x14ac:dyDescent="0.25">
      <c r="B23">
        <v>42.085154843567501</v>
      </c>
      <c r="C23">
        <v>23.478168817882501</v>
      </c>
      <c r="H23">
        <f t="shared" si="0"/>
        <v>4.9795147767025227</v>
      </c>
      <c r="I23">
        <f t="shared" si="1"/>
        <v>1.4420059449018083</v>
      </c>
      <c r="N23">
        <f t="shared" si="2"/>
        <v>5.1024510491141291</v>
      </c>
      <c r="O23">
        <v>0</v>
      </c>
      <c r="P23">
        <v>5.1024510491141291</v>
      </c>
      <c r="T23">
        <f t="shared" si="3"/>
        <v>42.848230797406408</v>
      </c>
      <c r="X23">
        <f t="shared" si="4"/>
        <v>4308.5154843567498</v>
      </c>
      <c r="Z23">
        <v>35</v>
      </c>
      <c r="AA23">
        <f t="shared" si="5"/>
        <v>23.334911220678901</v>
      </c>
      <c r="AG23">
        <v>4.5729697553959996</v>
      </c>
    </row>
    <row r="24" spans="2:33" x14ac:dyDescent="0.25">
      <c r="B24">
        <v>42.650011032040297</v>
      </c>
      <c r="C24">
        <v>23.919278141521001</v>
      </c>
      <c r="H24">
        <f t="shared" si="0"/>
        <v>5.5443709651753181</v>
      </c>
      <c r="I24">
        <f t="shared" si="1"/>
        <v>1.8831152685403083</v>
      </c>
      <c r="N24">
        <f t="shared" si="2"/>
        <v>5.8043641236998118</v>
      </c>
      <c r="O24">
        <v>0</v>
      </c>
      <c r="P24">
        <v>5.8043641236998118</v>
      </c>
      <c r="T24">
        <f t="shared" si="3"/>
        <v>43.408647872489553</v>
      </c>
      <c r="X24">
        <f t="shared" si="4"/>
        <v>4365.0011032040293</v>
      </c>
      <c r="Z24">
        <v>35</v>
      </c>
      <c r="AA24">
        <f t="shared" si="5"/>
        <v>23.478168817882501</v>
      </c>
      <c r="AG24">
        <v>5.2020453173368875</v>
      </c>
    </row>
    <row r="25" spans="2:33" x14ac:dyDescent="0.25">
      <c r="B25">
        <v>40.830758782226198</v>
      </c>
      <c r="C25">
        <v>21.8384074015636</v>
      </c>
      <c r="H25">
        <f t="shared" si="0"/>
        <v>3.7251187153612193</v>
      </c>
      <c r="I25">
        <f t="shared" si="1"/>
        <v>-0.19775547141709282</v>
      </c>
      <c r="N25">
        <f t="shared" si="2"/>
        <v>3.250840689962093</v>
      </c>
      <c r="O25">
        <v>0</v>
      </c>
      <c r="P25">
        <v>3.250840689962093</v>
      </c>
      <c r="T25">
        <f t="shared" si="3"/>
        <v>41.610294245508555</v>
      </c>
      <c r="X25">
        <f t="shared" si="4"/>
        <v>4183.0758782226203</v>
      </c>
      <c r="Z25">
        <v>35</v>
      </c>
      <c r="AA25">
        <f t="shared" si="5"/>
        <v>23.919278141521001</v>
      </c>
      <c r="AG25">
        <v>2.9135009844706499</v>
      </c>
    </row>
    <row r="26" spans="2:33" x14ac:dyDescent="0.25">
      <c r="B26">
        <v>61.270687129238297</v>
      </c>
      <c r="C26">
        <v>35.238949932839503</v>
      </c>
      <c r="H26">
        <f t="shared" si="0"/>
        <v>24.165047062373318</v>
      </c>
      <c r="I26">
        <f t="shared" si="1"/>
        <v>13.20278705985881</v>
      </c>
      <c r="N26">
        <f t="shared" si="2"/>
        <v>27.514074328934413</v>
      </c>
      <c r="O26">
        <v>0</v>
      </c>
      <c r="P26">
        <v>27.514074328934413</v>
      </c>
      <c r="T26">
        <f t="shared" si="3"/>
        <v>61.915201947202675</v>
      </c>
      <c r="X26">
        <f t="shared" si="4"/>
        <v>6227.0687129238295</v>
      </c>
      <c r="Z26">
        <v>35</v>
      </c>
      <c r="AA26">
        <f t="shared" si="5"/>
        <v>21.8384074015636</v>
      </c>
      <c r="AG26">
        <v>24.658939114326085</v>
      </c>
    </row>
    <row r="27" spans="2:33" x14ac:dyDescent="0.25">
      <c r="B27">
        <v>31.984896693862002</v>
      </c>
      <c r="C27">
        <v>18.547593277600502</v>
      </c>
      <c r="H27">
        <f t="shared" si="0"/>
        <v>-5.120743373002977</v>
      </c>
      <c r="I27">
        <f t="shared" si="1"/>
        <v>-3.4885695953801914</v>
      </c>
      <c r="N27">
        <f t="shared" si="2"/>
        <v>-6.1368610199969016</v>
      </c>
      <c r="O27">
        <v>0</v>
      </c>
      <c r="P27">
        <v>-6.1368610199969016</v>
      </c>
      <c r="T27">
        <f t="shared" si="3"/>
        <v>32.797780913035524</v>
      </c>
      <c r="X27">
        <f t="shared" si="4"/>
        <v>3298.4896693862001</v>
      </c>
      <c r="Z27">
        <v>35</v>
      </c>
      <c r="AA27">
        <f t="shared" si="5"/>
        <v>35.238949932839503</v>
      </c>
      <c r="AG27">
        <v>-5.5000390140708557</v>
      </c>
    </row>
    <row r="28" spans="2:33" x14ac:dyDescent="0.25">
      <c r="B28">
        <v>36.783854855923899</v>
      </c>
      <c r="C28">
        <v>21.414010884538701</v>
      </c>
      <c r="H28">
        <f t="shared" si="0"/>
        <v>-0.32178521094107992</v>
      </c>
      <c r="I28">
        <f t="shared" si="1"/>
        <v>-0.62215198844199193</v>
      </c>
      <c r="N28">
        <f t="shared" si="2"/>
        <v>-0.56437441785149933</v>
      </c>
      <c r="O28">
        <v>0</v>
      </c>
      <c r="P28">
        <v>-0.56437441785149933</v>
      </c>
      <c r="T28">
        <f t="shared" si="3"/>
        <v>37.567836402215853</v>
      </c>
      <c r="X28">
        <f t="shared" si="4"/>
        <v>3778.3854855923901</v>
      </c>
      <c r="Z28">
        <v>35</v>
      </c>
      <c r="AA28">
        <f t="shared" si="5"/>
        <v>18.547593277600502</v>
      </c>
      <c r="AG28">
        <v>-0.50580929022380572</v>
      </c>
    </row>
    <row r="29" spans="2:33" x14ac:dyDescent="0.25">
      <c r="B29">
        <v>30.1570898861812</v>
      </c>
      <c r="C29">
        <v>18.018244362032899</v>
      </c>
      <c r="H29">
        <f t="shared" si="0"/>
        <v>-6.9485501806837782</v>
      </c>
      <c r="I29">
        <f t="shared" si="1"/>
        <v>-4.0179185109477942</v>
      </c>
      <c r="N29">
        <f t="shared" si="2"/>
        <v>-8.0098106058561491</v>
      </c>
      <c r="O29">
        <v>0</v>
      </c>
      <c r="P29">
        <v>-8.0098106058561491</v>
      </c>
      <c r="T29">
        <f t="shared" si="3"/>
        <v>30.975358713342469</v>
      </c>
      <c r="X29">
        <f t="shared" si="4"/>
        <v>3115.7089886181202</v>
      </c>
      <c r="Z29">
        <v>35</v>
      </c>
      <c r="AA29">
        <f t="shared" si="5"/>
        <v>21.414010884538701</v>
      </c>
      <c r="AG29">
        <v>-7.1786326403640111</v>
      </c>
    </row>
    <row r="30" spans="2:33" x14ac:dyDescent="0.25">
      <c r="B30">
        <v>21.9632594412694</v>
      </c>
      <c r="C30">
        <v>13.745487042508101</v>
      </c>
      <c r="H30">
        <f t="shared" si="0"/>
        <v>-15.142380625595578</v>
      </c>
      <c r="I30">
        <f t="shared" si="1"/>
        <v>-8.2906758304725923</v>
      </c>
      <c r="N30">
        <f t="shared" si="2"/>
        <v>-17.248722888765496</v>
      </c>
      <c r="O30">
        <v>0</v>
      </c>
      <c r="P30">
        <v>-17.248722888765496</v>
      </c>
      <c r="T30">
        <f t="shared" si="3"/>
        <v>22.824663366205414</v>
      </c>
      <c r="X30">
        <f t="shared" si="4"/>
        <v>2296.3259441269402</v>
      </c>
      <c r="Z30">
        <v>35</v>
      </c>
      <c r="AA30">
        <f t="shared" si="5"/>
        <v>18.018244362032899</v>
      </c>
      <c r="AG30">
        <v>-15.458823089194722</v>
      </c>
    </row>
    <row r="31" spans="2:33" x14ac:dyDescent="0.25">
      <c r="B31">
        <v>23.727993551705101</v>
      </c>
      <c r="C31">
        <v>14.707475020029401</v>
      </c>
      <c r="H31">
        <f t="shared" si="0"/>
        <v>-13.377646515159878</v>
      </c>
      <c r="I31">
        <f t="shared" si="1"/>
        <v>-7.3286878529512922</v>
      </c>
      <c r="N31">
        <f t="shared" si="2"/>
        <v>-15.240386269491299</v>
      </c>
      <c r="O31">
        <v>0</v>
      </c>
      <c r="P31">
        <v>-15.240386269491299</v>
      </c>
      <c r="T31">
        <f t="shared" si="3"/>
        <v>24.579689847735494</v>
      </c>
      <c r="X31">
        <f t="shared" si="4"/>
        <v>2472.7993551705099</v>
      </c>
      <c r="Z31">
        <v>35</v>
      </c>
      <c r="AA31">
        <f t="shared" si="5"/>
        <v>13.745487042508101</v>
      </c>
      <c r="AG31">
        <v>-13.658891540573661</v>
      </c>
    </row>
    <row r="32" spans="2:33" x14ac:dyDescent="0.25">
      <c r="Z32">
        <v>35</v>
      </c>
      <c r="AA32">
        <f t="shared" si="5"/>
        <v>14.707475020029401</v>
      </c>
    </row>
    <row r="33" spans="11:27" x14ac:dyDescent="0.25">
      <c r="Z33">
        <v>35</v>
      </c>
      <c r="AA33">
        <v>35</v>
      </c>
    </row>
    <row r="34" spans="11:27" x14ac:dyDescent="0.25">
      <c r="U34" t="s">
        <v>23</v>
      </c>
    </row>
    <row r="35" spans="11:27" x14ac:dyDescent="0.25">
      <c r="U35" t="s">
        <v>24</v>
      </c>
    </row>
    <row r="37" spans="11:27" x14ac:dyDescent="0.25">
      <c r="K37" t="s">
        <v>2</v>
      </c>
    </row>
    <row r="39" spans="11:27" x14ac:dyDescent="0.25">
      <c r="K39" t="b">
        <v>0</v>
      </c>
    </row>
  </sheetData>
  <mergeCells count="2">
    <mergeCell ref="K3:L4"/>
    <mergeCell ref="K5:L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heckBox1">
          <controlPr autoLine="0" linkedCell="ShowProjection" r:id="rId4">
            <anchor moveWithCells="1">
              <from>
                <xdr:col>8</xdr:col>
                <xdr:colOff>733425</xdr:colOff>
                <xdr:row>37</xdr:row>
                <xdr:rowOff>142875</xdr:rowOff>
              </from>
              <to>
                <xdr:col>11</xdr:col>
                <xdr:colOff>295275</xdr:colOff>
                <xdr:row>39</xdr:row>
                <xdr:rowOff>28575</xdr:rowOff>
              </to>
            </anchor>
          </controlPr>
        </control>
      </mc:Choice>
      <mc:Fallback>
        <control shapeId="5121" r:id="rId3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Q48"/>
  <sheetViews>
    <sheetView showGridLines="0" workbookViewId="0">
      <selection activeCell="G11" sqref="G11"/>
    </sheetView>
  </sheetViews>
  <sheetFormatPr defaultRowHeight="15" x14ac:dyDescent="0.25"/>
  <cols>
    <col min="1" max="1" width="2.5703125" customWidth="1"/>
    <col min="13" max="13" width="5.42578125" customWidth="1"/>
    <col min="14" max="14" width="11" customWidth="1"/>
    <col min="15" max="15" width="1.5703125" customWidth="1"/>
  </cols>
  <sheetData>
    <row r="2" spans="2:17" x14ac:dyDescent="0.25">
      <c r="B2" s="13" t="s">
        <v>1</v>
      </c>
      <c r="C2" s="13" t="s">
        <v>0</v>
      </c>
      <c r="D2" s="13" t="s">
        <v>2</v>
      </c>
      <c r="E2" s="13" t="s">
        <v>43</v>
      </c>
      <c r="F2" s="13" t="s">
        <v>44</v>
      </c>
      <c r="G2" s="13" t="s">
        <v>45</v>
      </c>
      <c r="H2" s="13" t="s">
        <v>46</v>
      </c>
      <c r="I2" s="13" t="s">
        <v>4</v>
      </c>
      <c r="J2" s="13" t="s">
        <v>3</v>
      </c>
      <c r="K2" s="13" t="s">
        <v>8</v>
      </c>
      <c r="L2" s="13" t="s">
        <v>9</v>
      </c>
      <c r="N2" s="13" t="s">
        <v>47</v>
      </c>
    </row>
    <row r="3" spans="2:17" x14ac:dyDescent="0.25">
      <c r="B3" s="14">
        <v>31.280299760875302</v>
      </c>
      <c r="C3" s="14">
        <v>21.3677645480496</v>
      </c>
      <c r="D3" s="14">
        <f t="shared" ref="D3:D32" si="0">phi_01*(B3-N$3)+phi_02*(C3-N$9)</f>
        <v>-3.2468693154603852</v>
      </c>
      <c r="E3" s="14">
        <f t="shared" ref="E3:E32" si="1">(B3-N$3)</f>
        <v>-5.8253403059896769</v>
      </c>
      <c r="F3" s="14">
        <f t="shared" ref="F3:F32" si="2">(C3-N$9)</f>
        <v>-0.66839832493109341</v>
      </c>
      <c r="G3" s="14">
        <f t="shared" ref="G3:G32" si="3">E3/N$6</f>
        <v>-0.52864986084065979</v>
      </c>
      <c r="H3" s="14">
        <f t="shared" ref="H3:H32" si="4">F3/N$12</f>
        <v>-0.12065898160868568</v>
      </c>
      <c r="I3" s="14">
        <f t="shared" ref="I3:I32" si="5">ABS(N$31*G3-H3+N$34)/SQRT(N$31^2+1)</f>
        <v>0.30732755950879959</v>
      </c>
      <c r="J3" s="14">
        <f t="shared" ref="J3:J32" si="6">N$31*E3+N$34</f>
        <v>-6.3310577700490516</v>
      </c>
      <c r="K3" s="15">
        <v>0</v>
      </c>
      <c r="L3" s="14">
        <v>-2.5</v>
      </c>
      <c r="N3" s="16">
        <f>AVERAGE($B$3:$B$32)</f>
        <v>37.105640066864979</v>
      </c>
    </row>
    <row r="4" spans="2:17" x14ac:dyDescent="0.25">
      <c r="B4" s="17">
        <v>41.960531487646797</v>
      </c>
      <c r="C4" s="17">
        <v>25.485458828518301</v>
      </c>
      <c r="D4" s="17">
        <f t="shared" si="0"/>
        <v>4.152093688159713</v>
      </c>
      <c r="E4" s="17">
        <f t="shared" si="1"/>
        <v>4.8548914207818186</v>
      </c>
      <c r="F4" s="17">
        <f t="shared" si="2"/>
        <v>3.4492959555376075</v>
      </c>
      <c r="G4" s="17">
        <f t="shared" si="3"/>
        <v>0.44058158651330293</v>
      </c>
      <c r="H4" s="17">
        <f t="shared" si="4"/>
        <v>0.62266544025979098</v>
      </c>
      <c r="I4" s="17">
        <f t="shared" si="5"/>
        <v>9.7391696187112423E-2</v>
      </c>
      <c r="J4" s="17">
        <f t="shared" si="6"/>
        <v>5.2763609399233751</v>
      </c>
      <c r="K4" s="18">
        <v>0</v>
      </c>
      <c r="L4" s="17">
        <f t="shared" ref="L4:L32" si="7">F3</f>
        <v>-0.66839832493109341</v>
      </c>
    </row>
    <row r="5" spans="2:17" x14ac:dyDescent="0.25">
      <c r="B5" s="17">
        <v>46.7670060372349</v>
      </c>
      <c r="C5" s="17">
        <v>26.945025046737701</v>
      </c>
      <c r="D5" s="17">
        <f t="shared" si="0"/>
        <v>7.2851140720634646</v>
      </c>
      <c r="E5" s="17">
        <f t="shared" si="1"/>
        <v>9.6613659703699213</v>
      </c>
      <c r="F5" s="17">
        <f t="shared" si="2"/>
        <v>4.908862173757008</v>
      </c>
      <c r="G5" s="17">
        <f t="shared" si="3"/>
        <v>0.87676934007017227</v>
      </c>
      <c r="H5" s="17">
        <f t="shared" si="4"/>
        <v>0.8861457137912202</v>
      </c>
      <c r="I5" s="17">
        <f t="shared" si="5"/>
        <v>4.51892537999194E-2</v>
      </c>
      <c r="J5" s="17">
        <f t="shared" si="6"/>
        <v>10.50010177656158</v>
      </c>
      <c r="K5" s="18">
        <v>0</v>
      </c>
      <c r="L5" s="17">
        <f t="shared" si="7"/>
        <v>3.4492959555376075</v>
      </c>
      <c r="N5" s="13" t="s">
        <v>48</v>
      </c>
    </row>
    <row r="6" spans="2:17" x14ac:dyDescent="0.25">
      <c r="B6" s="17">
        <v>31.390699227039502</v>
      </c>
      <c r="C6" s="17">
        <v>20.0803514320312</v>
      </c>
      <c r="D6" s="17">
        <f t="shared" si="0"/>
        <v>-3.8353761403874849</v>
      </c>
      <c r="E6" s="17">
        <f t="shared" si="1"/>
        <v>-5.7149408398254771</v>
      </c>
      <c r="F6" s="17">
        <f t="shared" si="2"/>
        <v>-1.9558114409494927</v>
      </c>
      <c r="G6" s="17">
        <f t="shared" si="3"/>
        <v>-0.51863110496392961</v>
      </c>
      <c r="H6" s="17">
        <f t="shared" si="4"/>
        <v>-0.35306225028004101</v>
      </c>
      <c r="I6" s="17">
        <f t="shared" si="5"/>
        <v>0.14259351732623421</v>
      </c>
      <c r="J6" s="17">
        <f t="shared" si="6"/>
        <v>-6.2110741534096148</v>
      </c>
      <c r="K6" s="18">
        <v>0</v>
      </c>
      <c r="L6" s="17">
        <f t="shared" si="7"/>
        <v>4.908862173757008</v>
      </c>
      <c r="N6" s="16">
        <f>_xlfn.STDEV.S($B$3:$B$32)</f>
        <v>11.019278992575941</v>
      </c>
    </row>
    <row r="7" spans="2:17" x14ac:dyDescent="0.25">
      <c r="B7" s="17">
        <v>35.522478207643999</v>
      </c>
      <c r="C7" s="17">
        <v>22.2011133939133</v>
      </c>
      <c r="D7" s="17">
        <f t="shared" si="0"/>
        <v>-0.70910566914418638</v>
      </c>
      <c r="E7" s="17">
        <f t="shared" si="1"/>
        <v>-1.5831618592209793</v>
      </c>
      <c r="F7" s="17">
        <f t="shared" si="2"/>
        <v>0.16495052093260654</v>
      </c>
      <c r="G7" s="17">
        <f t="shared" si="3"/>
        <v>-0.1436720007078148</v>
      </c>
      <c r="H7" s="17">
        <f t="shared" si="4"/>
        <v>2.9776797949938479E-2</v>
      </c>
      <c r="I7" s="17">
        <f t="shared" si="5"/>
        <v>0.12588831071309256</v>
      </c>
      <c r="J7" s="17">
        <f t="shared" si="6"/>
        <v>-1.7206014865364065</v>
      </c>
      <c r="K7" s="18">
        <v>0</v>
      </c>
      <c r="L7" s="17">
        <f t="shared" si="7"/>
        <v>-1.9558114409494927</v>
      </c>
    </row>
    <row r="8" spans="2:17" x14ac:dyDescent="0.25">
      <c r="B8" s="17">
        <v>48.1993472334714</v>
      </c>
      <c r="C8" s="17">
        <v>28.897104437935699</v>
      </c>
      <c r="D8" s="17">
        <f t="shared" si="0"/>
        <v>8.9773243657807136</v>
      </c>
      <c r="E8" s="17">
        <f t="shared" si="1"/>
        <v>11.093707166606421</v>
      </c>
      <c r="F8" s="17">
        <f t="shared" si="2"/>
        <v>6.8609415649550058</v>
      </c>
      <c r="G8" s="17">
        <f t="shared" si="3"/>
        <v>1.0067543597072572</v>
      </c>
      <c r="H8" s="17">
        <f t="shared" si="4"/>
        <v>1.2385342560358996</v>
      </c>
      <c r="I8" s="17">
        <f t="shared" si="5"/>
        <v>9.7760496349584225E-2</v>
      </c>
      <c r="J8" s="17">
        <f t="shared" si="6"/>
        <v>12.056789349040461</v>
      </c>
      <c r="K8" s="18">
        <v>0</v>
      </c>
      <c r="L8" s="17">
        <f t="shared" si="7"/>
        <v>0.16495052093260654</v>
      </c>
      <c r="N8" s="13" t="s">
        <v>49</v>
      </c>
    </row>
    <row r="9" spans="2:17" x14ac:dyDescent="0.25">
      <c r="B9" s="17">
        <v>23.188412227884399</v>
      </c>
      <c r="C9" s="17">
        <v>15.727118493768799</v>
      </c>
      <c r="D9" s="17">
        <f t="shared" si="0"/>
        <v>-10.113136109096237</v>
      </c>
      <c r="E9" s="17">
        <f t="shared" si="1"/>
        <v>-13.91722783898058</v>
      </c>
      <c r="F9" s="17">
        <f t="shared" si="2"/>
        <v>-6.309044379211894</v>
      </c>
      <c r="G9" s="17">
        <f t="shared" si="3"/>
        <v>-1.2629889712709048</v>
      </c>
      <c r="H9" s="17">
        <f t="shared" si="4"/>
        <v>-1.1389060105711484</v>
      </c>
      <c r="I9" s="17">
        <f t="shared" si="5"/>
        <v>0.15825788109842764</v>
      </c>
      <c r="J9" s="17">
        <f t="shared" si="6"/>
        <v>-15.12542938597502</v>
      </c>
      <c r="K9" s="18">
        <v>0</v>
      </c>
      <c r="L9" s="17">
        <f t="shared" si="7"/>
        <v>6.8609415649550058</v>
      </c>
      <c r="N9" s="16">
        <f>AVERAGE($C$3:$C$32)</f>
        <v>22.036162872980693</v>
      </c>
    </row>
    <row r="10" spans="2:17" x14ac:dyDescent="0.25">
      <c r="B10" s="17">
        <v>31.720551292532502</v>
      </c>
      <c r="C10" s="17">
        <v>22.791878712710901</v>
      </c>
      <c r="D10" s="17">
        <f t="shared" si="0"/>
        <v>-2.3146864673011347</v>
      </c>
      <c r="E10" s="17">
        <f t="shared" si="1"/>
        <v>-5.3850887743324769</v>
      </c>
      <c r="F10" s="17">
        <f t="shared" si="2"/>
        <v>0.75571583973020751</v>
      </c>
      <c r="G10" s="17">
        <f t="shared" si="3"/>
        <v>-0.48869701710616387</v>
      </c>
      <c r="H10" s="17">
        <f t="shared" si="4"/>
        <v>0.13642150227830074</v>
      </c>
      <c r="I10" s="17">
        <f t="shared" si="5"/>
        <v>0.45199723362268435</v>
      </c>
      <c r="J10" s="17">
        <f t="shared" si="6"/>
        <v>-5.8525865162051476</v>
      </c>
      <c r="K10" s="18">
        <v>0</v>
      </c>
      <c r="L10" s="17">
        <f t="shared" si="7"/>
        <v>-6.309044379211894</v>
      </c>
      <c r="P10" t="s">
        <v>50</v>
      </c>
      <c r="Q10">
        <f>-1/N31</f>
        <v>-0.92012117367625024</v>
      </c>
    </row>
    <row r="11" spans="2:17" x14ac:dyDescent="0.25">
      <c r="B11" s="17">
        <v>45.0325495672149</v>
      </c>
      <c r="C11" s="17">
        <v>24.647522137499202</v>
      </c>
      <c r="D11" s="17">
        <f t="shared" si="0"/>
        <v>5.2691343824342152</v>
      </c>
      <c r="E11" s="17">
        <f t="shared" si="1"/>
        <v>7.9269095003499217</v>
      </c>
      <c r="F11" s="17">
        <f t="shared" si="2"/>
        <v>2.6113592645185086</v>
      </c>
      <c r="G11" s="17">
        <f t="shared" si="3"/>
        <v>0.71936734750890208</v>
      </c>
      <c r="H11" s="17">
        <f t="shared" si="4"/>
        <v>0.47140146484312689</v>
      </c>
      <c r="I11" s="17">
        <f t="shared" si="5"/>
        <v>0.21018457129361015</v>
      </c>
      <c r="J11" s="17">
        <f t="shared" si="6"/>
        <v>8.6150712831428109</v>
      </c>
      <c r="K11" s="18">
        <v>0</v>
      </c>
      <c r="L11" s="17">
        <f t="shared" si="7"/>
        <v>0.75571583973020751</v>
      </c>
      <c r="N11" s="13" t="s">
        <v>51</v>
      </c>
      <c r="P11" t="s">
        <v>52</v>
      </c>
      <c r="Q11">
        <f>Q16-Q10*P16</f>
        <v>-0.31323897067350531</v>
      </c>
    </row>
    <row r="12" spans="2:17" x14ac:dyDescent="0.25">
      <c r="B12" s="17">
        <v>40.026853679818799</v>
      </c>
      <c r="C12" s="17">
        <v>24.280423759941598</v>
      </c>
      <c r="D12" s="17">
        <f t="shared" si="0"/>
        <v>2.5827372499573631</v>
      </c>
      <c r="E12" s="17">
        <f t="shared" si="1"/>
        <v>2.9212136129538209</v>
      </c>
      <c r="F12" s="17">
        <f t="shared" si="2"/>
        <v>2.2442608869609053</v>
      </c>
      <c r="G12" s="17">
        <f t="shared" si="3"/>
        <v>0.26510024974609869</v>
      </c>
      <c r="H12" s="17">
        <f t="shared" si="4"/>
        <v>0.4051330217095096</v>
      </c>
      <c r="I12" s="17">
        <f t="shared" si="5"/>
        <v>7.9233807054876898E-2</v>
      </c>
      <c r="J12" s="17">
        <f t="shared" si="6"/>
        <v>3.1748140315936979</v>
      </c>
      <c r="K12" s="18">
        <v>0</v>
      </c>
      <c r="L12" s="17">
        <f t="shared" si="7"/>
        <v>2.6113592645185086</v>
      </c>
      <c r="N12" s="16">
        <f>_xlfn.STDEV.S($C$3:$C$32)</f>
        <v>5.5395654431992858</v>
      </c>
    </row>
    <row r="13" spans="2:17" x14ac:dyDescent="0.25">
      <c r="B13" s="17">
        <v>24.2797261933102</v>
      </c>
      <c r="C13" s="17">
        <v>13.094034569563499</v>
      </c>
      <c r="D13" s="17">
        <f t="shared" si="0"/>
        <v>-10.884021088485987</v>
      </c>
      <c r="E13" s="17">
        <f t="shared" si="1"/>
        <v>-12.825913873554779</v>
      </c>
      <c r="F13" s="17">
        <f t="shared" si="2"/>
        <v>-8.9421283034171939</v>
      </c>
      <c r="G13" s="17">
        <f t="shared" si="3"/>
        <v>-1.1639521861816937</v>
      </c>
      <c r="H13" s="17">
        <f t="shared" si="4"/>
        <v>-1.6142292017499504</v>
      </c>
      <c r="I13" s="17">
        <f t="shared" si="5"/>
        <v>0.23646558535700679</v>
      </c>
      <c r="J13" s="17">
        <f t="shared" si="6"/>
        <v>-13.939374769857919</v>
      </c>
      <c r="K13" s="18">
        <v>0</v>
      </c>
      <c r="L13" s="17">
        <f t="shared" si="7"/>
        <v>2.2442608869609053</v>
      </c>
      <c r="P13" s="31" t="s">
        <v>53</v>
      </c>
      <c r="Q13" s="31"/>
    </row>
    <row r="14" spans="2:17" x14ac:dyDescent="0.25">
      <c r="B14" s="17">
        <v>44.550326688238101</v>
      </c>
      <c r="C14" s="17">
        <v>26.121780502834401</v>
      </c>
      <c r="D14" s="17">
        <f t="shared" si="0"/>
        <v>5.7651521256134153</v>
      </c>
      <c r="E14" s="17">
        <f t="shared" si="1"/>
        <v>7.4446866213731226</v>
      </c>
      <c r="F14" s="17">
        <f t="shared" si="2"/>
        <v>4.0856176298537079</v>
      </c>
      <c r="G14" s="17">
        <f t="shared" si="3"/>
        <v>0.67560560236190215</v>
      </c>
      <c r="H14" s="17">
        <f t="shared" si="4"/>
        <v>0.73753395852908743</v>
      </c>
      <c r="I14" s="17">
        <f t="shared" si="5"/>
        <v>2.2187047975601756E-3</v>
      </c>
      <c r="J14" s="17">
        <f t="shared" si="6"/>
        <v>8.0909850075818142</v>
      </c>
      <c r="K14" s="18">
        <v>0</v>
      </c>
      <c r="L14" s="17">
        <f t="shared" si="7"/>
        <v>-8.9421283034171939</v>
      </c>
      <c r="N14" s="13" t="s">
        <v>54</v>
      </c>
      <c r="P14" s="2" t="s">
        <v>5</v>
      </c>
      <c r="Q14" s="2" t="s">
        <v>6</v>
      </c>
    </row>
    <row r="15" spans="2:17" x14ac:dyDescent="0.25">
      <c r="B15" s="17">
        <v>43.459858713349199</v>
      </c>
      <c r="C15" s="17">
        <v>24.701866565856498</v>
      </c>
      <c r="D15" s="17">
        <f t="shared" si="0"/>
        <v>4.5099611696800128</v>
      </c>
      <c r="E15" s="17">
        <f t="shared" si="1"/>
        <v>6.3542186464842203</v>
      </c>
      <c r="F15" s="17">
        <f t="shared" si="2"/>
        <v>2.6657036928758053</v>
      </c>
      <c r="G15" s="17">
        <f t="shared" si="3"/>
        <v>0.5766455909470366</v>
      </c>
      <c r="H15" s="17">
        <f t="shared" si="4"/>
        <v>0.4812116979587972</v>
      </c>
      <c r="I15" s="17">
        <f t="shared" si="5"/>
        <v>9.8514989850651088E-2</v>
      </c>
      <c r="J15" s="17">
        <f t="shared" si="6"/>
        <v>6.9058498252970191</v>
      </c>
      <c r="K15" s="18">
        <v>0</v>
      </c>
      <c r="L15" s="17">
        <f t="shared" si="7"/>
        <v>4.0856176298537079</v>
      </c>
      <c r="N15" s="14">
        <v>0.5</v>
      </c>
      <c r="P15" s="19">
        <v>-0.18</v>
      </c>
      <c r="Q15" s="2">
        <f>N31*P15+N34</f>
        <v>-0.19562640785759594</v>
      </c>
    </row>
    <row r="16" spans="2:17" x14ac:dyDescent="0.25">
      <c r="B16" s="17">
        <v>41.862174560330502</v>
      </c>
      <c r="C16" s="17">
        <v>23.927509195484799</v>
      </c>
      <c r="D16" s="17">
        <f t="shared" si="0"/>
        <v>3.3239404079848143</v>
      </c>
      <c r="E16" s="17">
        <f t="shared" si="1"/>
        <v>4.7565344934655229</v>
      </c>
      <c r="F16" s="17">
        <f t="shared" si="2"/>
        <v>1.8913463225041056</v>
      </c>
      <c r="G16" s="17">
        <f t="shared" si="3"/>
        <v>0.43165569150850613</v>
      </c>
      <c r="H16" s="17">
        <f t="shared" si="4"/>
        <v>0.34142503449003203</v>
      </c>
      <c r="I16" s="17">
        <f t="shared" si="5"/>
        <v>8.6469092744715453E-2</v>
      </c>
      <c r="J16" s="17">
        <f t="shared" si="6"/>
        <v>5.1694653155967218</v>
      </c>
      <c r="K16" s="18">
        <v>0</v>
      </c>
      <c r="L16" s="17">
        <f t="shared" si="7"/>
        <v>2.6657036928758053</v>
      </c>
      <c r="N16" s="20">
        <v>0.5</v>
      </c>
      <c r="P16">
        <f>G10</f>
        <v>-0.48869701710616387</v>
      </c>
      <c r="Q16">
        <f>H10</f>
        <v>0.13642150227830074</v>
      </c>
    </row>
    <row r="17" spans="2:17" x14ac:dyDescent="0.25">
      <c r="B17" s="17">
        <v>38.265701987689198</v>
      </c>
      <c r="C17" s="17">
        <v>21.182513904366399</v>
      </c>
      <c r="D17" s="17">
        <f t="shared" si="0"/>
        <v>0.15320647610496252</v>
      </c>
      <c r="E17" s="17">
        <f t="shared" si="1"/>
        <v>1.1600619208242193</v>
      </c>
      <c r="F17" s="17">
        <f t="shared" si="2"/>
        <v>-0.85364896861429429</v>
      </c>
      <c r="G17" s="17">
        <f t="shared" si="3"/>
        <v>0.10527566473321821</v>
      </c>
      <c r="H17" s="17">
        <f t="shared" si="4"/>
        <v>-0.15410034909187448</v>
      </c>
      <c r="I17" s="17">
        <f t="shared" si="5"/>
        <v>0.18181303849917604</v>
      </c>
      <c r="J17" s="17">
        <f t="shared" si="6"/>
        <v>1.2607708136845828</v>
      </c>
      <c r="K17" s="18">
        <v>0</v>
      </c>
      <c r="L17" s="17">
        <f t="shared" si="7"/>
        <v>1.8913463225041056</v>
      </c>
      <c r="P17">
        <v>1.52</v>
      </c>
      <c r="Q17">
        <f>N31*P17+N34</f>
        <v>1.6519563330196991</v>
      </c>
    </row>
    <row r="18" spans="2:17" x14ac:dyDescent="0.25">
      <c r="B18" s="17">
        <v>19.194427779355799</v>
      </c>
      <c r="C18" s="17">
        <v>13.3364601859984</v>
      </c>
      <c r="D18" s="17">
        <f t="shared" si="0"/>
        <v>-13.305457487245736</v>
      </c>
      <c r="E18" s="17">
        <f t="shared" si="1"/>
        <v>-17.91121228750918</v>
      </c>
      <c r="F18" s="17">
        <f t="shared" si="2"/>
        <v>-8.6997026869822935</v>
      </c>
      <c r="G18" s="17">
        <f t="shared" si="3"/>
        <v>-1.6254432163462387</v>
      </c>
      <c r="H18" s="17">
        <f t="shared" si="4"/>
        <v>-1.5704666324797352</v>
      </c>
      <c r="I18" s="17">
        <f t="shared" si="5"/>
        <v>0.13277131711898796</v>
      </c>
      <c r="J18" s="17">
        <f t="shared" si="6"/>
        <v>-19.466145112112528</v>
      </c>
      <c r="K18" s="18">
        <v>0</v>
      </c>
      <c r="L18" s="17">
        <f t="shared" si="7"/>
        <v>-0.85364896861429429</v>
      </c>
      <c r="N18" s="13" t="s">
        <v>55</v>
      </c>
      <c r="P18">
        <f>G22</f>
        <v>1.6797680882207737</v>
      </c>
      <c r="Q18">
        <f>H22</f>
        <v>1.472708034782146</v>
      </c>
    </row>
    <row r="19" spans="2:17" x14ac:dyDescent="0.25">
      <c r="B19" s="21">
        <v>10.199999999999999</v>
      </c>
      <c r="C19" s="21">
        <v>10.3099031351238</v>
      </c>
      <c r="D19" s="17">
        <f t="shared" si="0"/>
        <v>-19.315949902360934</v>
      </c>
      <c r="E19" s="17">
        <f t="shared" si="1"/>
        <v>-26.905640066864979</v>
      </c>
      <c r="F19" s="17">
        <f t="shared" si="2"/>
        <v>-11.726259737856893</v>
      </c>
      <c r="G19" s="17">
        <f t="shared" si="3"/>
        <v>-2.441687889470102</v>
      </c>
      <c r="H19" s="17">
        <f t="shared" si="4"/>
        <v>-2.1168194252949526</v>
      </c>
      <c r="I19" s="17">
        <f t="shared" si="5"/>
        <v>0.36349670651863375</v>
      </c>
      <c r="J19" s="17">
        <f t="shared" si="6"/>
        <v>-29.241409541056687</v>
      </c>
      <c r="K19" s="18">
        <v>0</v>
      </c>
      <c r="L19" s="17">
        <f t="shared" si="7"/>
        <v>-8.6997026869822935</v>
      </c>
      <c r="N19" s="16">
        <f t="array" ref="N19">SQRT(MMULT(TRANSPOSE(N15:N16),N15:N16))</f>
        <v>0.70710678118654757</v>
      </c>
      <c r="P19" s="19">
        <v>-2.2000000000000002</v>
      </c>
      <c r="Q19" s="2">
        <f>N31*P19+N34</f>
        <v>-2.3909894293706175</v>
      </c>
    </row>
    <row r="20" spans="2:17" x14ac:dyDescent="0.25">
      <c r="B20" s="17">
        <v>42.194840103612997</v>
      </c>
      <c r="C20" s="17">
        <v>24.842921703187301</v>
      </c>
      <c r="D20" s="17">
        <f t="shared" si="0"/>
        <v>3.9479794334773128</v>
      </c>
      <c r="E20" s="17">
        <f t="shared" si="1"/>
        <v>5.0892000367480179</v>
      </c>
      <c r="F20" s="17">
        <f t="shared" si="2"/>
        <v>2.8067588302066078</v>
      </c>
      <c r="G20" s="17">
        <f t="shared" si="3"/>
        <v>0.46184510258582101</v>
      </c>
      <c r="H20" s="17">
        <f t="shared" si="4"/>
        <v>0.50667491141428056</v>
      </c>
      <c r="I20" s="17">
        <f t="shared" si="5"/>
        <v>3.2064135243253548E-3</v>
      </c>
      <c r="J20" s="17">
        <f t="shared" si="6"/>
        <v>5.5310106780986672</v>
      </c>
      <c r="K20" s="18">
        <v>0</v>
      </c>
      <c r="L20" s="17">
        <f t="shared" si="7"/>
        <v>-11.726259737856893</v>
      </c>
      <c r="P20">
        <f>G19</f>
        <v>-2.441687889470102</v>
      </c>
      <c r="Q20">
        <f>H19</f>
        <v>-2.1168194252949526</v>
      </c>
    </row>
    <row r="21" spans="2:17" x14ac:dyDescent="0.25">
      <c r="B21" s="17">
        <v>44.643137271610897</v>
      </c>
      <c r="C21" s="17">
        <v>26.707284124322399</v>
      </c>
      <c r="D21" s="17">
        <f t="shared" si="0"/>
        <v>6.104309228043812</v>
      </c>
      <c r="E21" s="17">
        <f t="shared" si="1"/>
        <v>7.5374972047459181</v>
      </c>
      <c r="F21" s="17">
        <f t="shared" si="2"/>
        <v>4.671121251341706</v>
      </c>
      <c r="G21" s="17">
        <f t="shared" si="3"/>
        <v>0.6840281664366773</v>
      </c>
      <c r="H21" s="17">
        <f t="shared" si="4"/>
        <v>0.84322882349485806</v>
      </c>
      <c r="I21" s="17">
        <f t="shared" si="5"/>
        <v>6.7587155803815024E-2</v>
      </c>
      <c r="J21" s="17">
        <f t="shared" si="6"/>
        <v>8.1918527911173022</v>
      </c>
      <c r="K21" s="18">
        <v>0</v>
      </c>
      <c r="L21" s="17">
        <f t="shared" si="7"/>
        <v>2.8067588302066078</v>
      </c>
      <c r="N21" s="13" t="s">
        <v>56</v>
      </c>
    </row>
    <row r="22" spans="2:17" x14ac:dyDescent="0.25">
      <c r="B22" s="17">
        <v>55.615473273795601</v>
      </c>
      <c r="C22" s="17">
        <v>30.194325410381801</v>
      </c>
      <c r="D22" s="17">
        <f t="shared" si="0"/>
        <v>13.333997872165865</v>
      </c>
      <c r="E22" s="17">
        <f t="shared" si="1"/>
        <v>18.509833206930622</v>
      </c>
      <c r="F22" s="17">
        <f t="shared" si="2"/>
        <v>8.1581625374011075</v>
      </c>
      <c r="G22" s="17">
        <f t="shared" si="3"/>
        <v>1.6797680882207737</v>
      </c>
      <c r="H22" s="17">
        <f t="shared" si="4"/>
        <v>1.472708034782146</v>
      </c>
      <c r="I22" s="17">
        <f t="shared" si="5"/>
        <v>0.23894107930252517</v>
      </c>
      <c r="J22" s="17">
        <f t="shared" si="6"/>
        <v>20.116734335083795</v>
      </c>
      <c r="K22" s="18">
        <v>0</v>
      </c>
      <c r="L22" s="17">
        <f t="shared" si="7"/>
        <v>4.671121251341706</v>
      </c>
      <c r="N22" s="16">
        <f>_xlfn.VAR.S(D3:D32)</f>
        <v>67.687850788120926</v>
      </c>
    </row>
    <row r="23" spans="2:17" x14ac:dyDescent="0.25">
      <c r="B23" s="17">
        <v>42.361100497280198</v>
      </c>
      <c r="C23" s="17">
        <v>23.334911220678901</v>
      </c>
      <c r="D23" s="17">
        <f t="shared" si="0"/>
        <v>3.2771043890567135</v>
      </c>
      <c r="E23" s="17">
        <f t="shared" si="1"/>
        <v>5.2554604304152193</v>
      </c>
      <c r="F23" s="17">
        <f t="shared" si="2"/>
        <v>1.2987483476982078</v>
      </c>
      <c r="G23" s="17">
        <f t="shared" si="3"/>
        <v>0.47693323982050001</v>
      </c>
      <c r="H23" s="17">
        <f t="shared" si="4"/>
        <v>0.2344494998777624</v>
      </c>
      <c r="I23" s="17">
        <f t="shared" si="5"/>
        <v>0.19222188337834845</v>
      </c>
      <c r="J23" s="17">
        <f t="shared" si="6"/>
        <v>5.711704697999247</v>
      </c>
      <c r="K23" s="18">
        <v>0</v>
      </c>
      <c r="L23" s="17">
        <f t="shared" si="7"/>
        <v>8.1581625374011075</v>
      </c>
      <c r="P23" s="31" t="s">
        <v>57</v>
      </c>
      <c r="Q23" s="31"/>
    </row>
    <row r="24" spans="2:17" x14ac:dyDescent="0.25">
      <c r="B24" s="17">
        <v>42.085154843567501</v>
      </c>
      <c r="C24" s="17">
        <v>23.478168817882501</v>
      </c>
      <c r="D24" s="17">
        <f t="shared" si="0"/>
        <v>3.2107603608021655</v>
      </c>
      <c r="E24" s="17">
        <f t="shared" si="1"/>
        <v>4.9795147767025227</v>
      </c>
      <c r="F24" s="17">
        <f t="shared" si="2"/>
        <v>1.4420059449018083</v>
      </c>
      <c r="G24" s="17">
        <f t="shared" si="3"/>
        <v>0.45189116094232562</v>
      </c>
      <c r="H24" s="17">
        <f t="shared" si="4"/>
        <v>0.26031030045364018</v>
      </c>
      <c r="I24" s="17">
        <f t="shared" si="5"/>
        <v>0.1562832807981617</v>
      </c>
      <c r="J24" s="17">
        <f t="shared" si="6"/>
        <v>5.4118032702229639</v>
      </c>
      <c r="K24" s="18">
        <v>0</v>
      </c>
      <c r="L24" s="17">
        <f t="shared" si="7"/>
        <v>1.2987483476982078</v>
      </c>
      <c r="N24" s="13" t="s">
        <v>58</v>
      </c>
      <c r="P24" s="2" t="s">
        <v>5</v>
      </c>
      <c r="Q24" s="2" t="s">
        <v>6</v>
      </c>
    </row>
    <row r="25" spans="2:17" x14ac:dyDescent="0.25">
      <c r="B25" s="17">
        <v>42.650011032040297</v>
      </c>
      <c r="C25" s="17">
        <v>23.919278141521001</v>
      </c>
      <c r="D25" s="17">
        <f t="shared" si="0"/>
        <v>3.7137431168578132</v>
      </c>
      <c r="E25" s="17">
        <f t="shared" si="1"/>
        <v>5.5443709651753181</v>
      </c>
      <c r="F25" s="17">
        <f t="shared" si="2"/>
        <v>1.8831152685403083</v>
      </c>
      <c r="G25" s="17">
        <f t="shared" si="3"/>
        <v>0.50315188216132356</v>
      </c>
      <c r="H25" s="17">
        <f t="shared" si="4"/>
        <v>0.339939168125929</v>
      </c>
      <c r="I25" s="17">
        <f t="shared" si="5"/>
        <v>0.140088267226193</v>
      </c>
      <c r="J25" s="17">
        <f t="shared" si="6"/>
        <v>6.0256965319288875</v>
      </c>
      <c r="K25" s="18">
        <v>0</v>
      </c>
      <c r="L25" s="17">
        <f t="shared" si="7"/>
        <v>1.4420059449018083</v>
      </c>
      <c r="N25" s="16">
        <f t="array" ref="N25">MMULT(MMULT(TRANSPOSE(N15:N16),(MMULT(TRANSPOSE(E3:F32),E3:F32)/(COUNT(F3:F32)-1))),N15:N16)</f>
        <v>67.687850788120926</v>
      </c>
      <c r="P25">
        <f>G19</f>
        <v>-2.441687889470102</v>
      </c>
      <c r="Q25">
        <f>H19</f>
        <v>-2.1168194252949526</v>
      </c>
    </row>
    <row r="26" spans="2:17" x14ac:dyDescent="0.25">
      <c r="B26" s="17">
        <v>40.830758782226198</v>
      </c>
      <c r="C26" s="17">
        <v>21.8384074015636</v>
      </c>
      <c r="D26" s="17">
        <f t="shared" si="0"/>
        <v>1.7636816219720632</v>
      </c>
      <c r="E26" s="17">
        <f t="shared" si="1"/>
        <v>3.7251187153612193</v>
      </c>
      <c r="F26" s="17">
        <f t="shared" si="2"/>
        <v>-0.19775547141709282</v>
      </c>
      <c r="G26" s="17">
        <f t="shared" si="3"/>
        <v>0.33805466926383815</v>
      </c>
      <c r="H26" s="17">
        <f t="shared" si="4"/>
        <v>-3.5698733672308122E-2</v>
      </c>
      <c r="I26" s="17">
        <f t="shared" si="5"/>
        <v>0.27294167906666866</v>
      </c>
      <c r="J26" s="17">
        <f t="shared" si="6"/>
        <v>4.0485088507178766</v>
      </c>
      <c r="K26" s="18">
        <v>0</v>
      </c>
      <c r="L26" s="17">
        <f t="shared" si="7"/>
        <v>1.8831152685403083</v>
      </c>
      <c r="P26" s="1">
        <v>0</v>
      </c>
      <c r="Q26">
        <f>Q25</f>
        <v>-2.1168194252949526</v>
      </c>
    </row>
    <row r="27" spans="2:17" x14ac:dyDescent="0.25">
      <c r="B27" s="17">
        <v>61.270687129238297</v>
      </c>
      <c r="C27" s="17">
        <v>35.238949932839503</v>
      </c>
      <c r="D27" s="17">
        <f t="shared" si="0"/>
        <v>18.683917061116063</v>
      </c>
      <c r="E27" s="17">
        <f t="shared" si="1"/>
        <v>24.165047062373318</v>
      </c>
      <c r="F27" s="17">
        <f t="shared" si="2"/>
        <v>13.20278705985881</v>
      </c>
      <c r="G27" s="17">
        <f t="shared" si="3"/>
        <v>2.1929789670135516</v>
      </c>
      <c r="H27" s="17">
        <f t="shared" si="4"/>
        <v>2.3833615100742911</v>
      </c>
      <c r="I27" s="17">
        <f t="shared" si="5"/>
        <v>1.7830022631105251E-6</v>
      </c>
      <c r="J27" s="17">
        <f t="shared" si="6"/>
        <v>26.262896402899131</v>
      </c>
      <c r="K27" s="18">
        <v>0</v>
      </c>
      <c r="L27" s="17">
        <f t="shared" si="7"/>
        <v>-0.19775547141709282</v>
      </c>
      <c r="N27" s="13" t="s">
        <v>59</v>
      </c>
    </row>
    <row r="28" spans="2:17" x14ac:dyDescent="0.25">
      <c r="B28" s="17">
        <v>31.984896693862002</v>
      </c>
      <c r="C28" s="17">
        <v>18.547593277600502</v>
      </c>
      <c r="D28" s="17">
        <f t="shared" si="0"/>
        <v>-4.3046564841915842</v>
      </c>
      <c r="E28" s="17">
        <f t="shared" si="1"/>
        <v>-5.120743373002977</v>
      </c>
      <c r="F28" s="17">
        <f t="shared" si="2"/>
        <v>-3.4885695953801914</v>
      </c>
      <c r="G28" s="17">
        <f t="shared" si="3"/>
        <v>-0.46470766158593441</v>
      </c>
      <c r="H28" s="17">
        <f t="shared" si="4"/>
        <v>-0.6297551010364858</v>
      </c>
      <c r="I28" s="17">
        <f t="shared" si="5"/>
        <v>8.4438084828946325E-2</v>
      </c>
      <c r="J28" s="17">
        <f t="shared" si="6"/>
        <v>-5.5652923978953446</v>
      </c>
      <c r="K28" s="18">
        <v>0</v>
      </c>
      <c r="L28" s="17">
        <f t="shared" si="7"/>
        <v>13.20278705985881</v>
      </c>
      <c r="N28" s="16">
        <f>SUM(I3:I32)</f>
        <v>4.0594651652527851</v>
      </c>
      <c r="P28">
        <f>G27</f>
        <v>2.1929789670135516</v>
      </c>
      <c r="Q28">
        <f>H27</f>
        <v>2.3833615100742911</v>
      </c>
    </row>
    <row r="29" spans="2:17" x14ac:dyDescent="0.25">
      <c r="B29" s="17">
        <v>36.783854855923899</v>
      </c>
      <c r="C29" s="17">
        <v>21.414010884538701</v>
      </c>
      <c r="D29" s="17">
        <f t="shared" si="0"/>
        <v>-0.47196859969153593</v>
      </c>
      <c r="E29" s="17">
        <f t="shared" si="1"/>
        <v>-0.32178521094107992</v>
      </c>
      <c r="F29" s="17">
        <f t="shared" si="2"/>
        <v>-0.62215198844199193</v>
      </c>
      <c r="G29" s="17">
        <f t="shared" si="3"/>
        <v>-2.9202020491347704E-2</v>
      </c>
      <c r="H29" s="17">
        <f t="shared" si="4"/>
        <v>-0.11231061259611697</v>
      </c>
      <c r="I29" s="17">
        <f t="shared" si="5"/>
        <v>5.4556682527121085E-2</v>
      </c>
      <c r="J29" s="17">
        <f t="shared" si="6"/>
        <v>-0.3497204717672347</v>
      </c>
      <c r="K29" s="18">
        <v>0</v>
      </c>
      <c r="L29" s="17">
        <f t="shared" si="7"/>
        <v>-3.4885695953801914</v>
      </c>
      <c r="P29" s="1">
        <v>0</v>
      </c>
      <c r="Q29">
        <f>Q28</f>
        <v>2.3833615100742911</v>
      </c>
    </row>
    <row r="30" spans="2:17" x14ac:dyDescent="0.25">
      <c r="B30" s="17">
        <v>30.1570898861812</v>
      </c>
      <c r="C30" s="17">
        <v>18.018244362032899</v>
      </c>
      <c r="D30" s="17">
        <f t="shared" si="0"/>
        <v>-5.4832343458157862</v>
      </c>
      <c r="E30" s="17">
        <f t="shared" si="1"/>
        <v>-6.9485501806837782</v>
      </c>
      <c r="F30" s="17">
        <f t="shared" si="2"/>
        <v>-4.0179185109477942</v>
      </c>
      <c r="G30" s="17">
        <f t="shared" si="3"/>
        <v>-0.63058120094474879</v>
      </c>
      <c r="H30" s="17">
        <f t="shared" si="4"/>
        <v>-0.72531294235009725</v>
      </c>
      <c r="I30" s="17">
        <f t="shared" si="5"/>
        <v>2.7076648556973695E-2</v>
      </c>
      <c r="J30" s="17">
        <f t="shared" si="6"/>
        <v>-7.5517772870300934</v>
      </c>
      <c r="K30" s="18">
        <v>0</v>
      </c>
      <c r="L30" s="17">
        <f t="shared" si="7"/>
        <v>-0.62215198844199193</v>
      </c>
      <c r="N30" s="13" t="s">
        <v>14</v>
      </c>
    </row>
    <row r="31" spans="2:17" x14ac:dyDescent="0.25">
      <c r="B31" s="17">
        <v>21.9632594412694</v>
      </c>
      <c r="C31" s="17">
        <v>13.745487042508101</v>
      </c>
      <c r="D31" s="17">
        <f t="shared" si="0"/>
        <v>-11.716528228034086</v>
      </c>
      <c r="E31" s="17">
        <f t="shared" si="1"/>
        <v>-15.142380625595578</v>
      </c>
      <c r="F31" s="17">
        <f t="shared" si="2"/>
        <v>-8.2906758304725923</v>
      </c>
      <c r="G31" s="17">
        <f t="shared" si="3"/>
        <v>-1.3741716346230555</v>
      </c>
      <c r="H31" s="17">
        <f t="shared" si="4"/>
        <v>-1.4966292781414363</v>
      </c>
      <c r="I31" s="17">
        <f t="shared" si="5"/>
        <v>2.1404389568689388E-3</v>
      </c>
      <c r="J31" s="17">
        <f t="shared" si="6"/>
        <v>-16.456941823320662</v>
      </c>
      <c r="K31" s="18">
        <v>0</v>
      </c>
      <c r="L31" s="17">
        <f t="shared" si="7"/>
        <v>-4.0179185109477942</v>
      </c>
      <c r="N31" s="16">
        <v>1.0868133769866442</v>
      </c>
    </row>
    <row r="32" spans="2:17" x14ac:dyDescent="0.25">
      <c r="B32" s="20">
        <v>23.727993551705101</v>
      </c>
      <c r="C32" s="20">
        <v>14.707475020029401</v>
      </c>
      <c r="D32" s="20">
        <f t="shared" si="0"/>
        <v>-10.353167184055586</v>
      </c>
      <c r="E32" s="20">
        <f t="shared" si="1"/>
        <v>-13.377646515159878</v>
      </c>
      <c r="F32" s="20">
        <f t="shared" si="2"/>
        <v>-7.3286878529512922</v>
      </c>
      <c r="G32" s="20">
        <f t="shared" si="3"/>
        <v>-1.2140219450086387</v>
      </c>
      <c r="H32" s="20">
        <f t="shared" si="4"/>
        <v>-1.3229716171957937</v>
      </c>
      <c r="I32" s="20">
        <f t="shared" si="5"/>
        <v>2.4080064395032544E-3</v>
      </c>
      <c r="J32" s="20">
        <f t="shared" si="6"/>
        <v>-14.539005185274519</v>
      </c>
      <c r="K32" s="22">
        <v>0</v>
      </c>
      <c r="L32" s="20">
        <f t="shared" si="7"/>
        <v>-8.2906758304725923</v>
      </c>
      <c r="N32">
        <v>0</v>
      </c>
    </row>
    <row r="33" spans="3:14" x14ac:dyDescent="0.25">
      <c r="N33" s="13" t="s">
        <v>15</v>
      </c>
    </row>
    <row r="34" spans="3:14" x14ac:dyDescent="0.25">
      <c r="C34" t="s">
        <v>60</v>
      </c>
      <c r="N34" s="16">
        <v>0</v>
      </c>
    </row>
    <row r="35" spans="3:14" x14ac:dyDescent="0.25">
      <c r="D35" s="11" t="s">
        <v>61</v>
      </c>
      <c r="E35" s="11"/>
    </row>
    <row r="36" spans="3:14" x14ac:dyDescent="0.25">
      <c r="D36" s="2">
        <f>phi_01</f>
        <v>0.5</v>
      </c>
      <c r="E36" s="23"/>
      <c r="H36" s="24" t="s">
        <v>62</v>
      </c>
      <c r="I36" t="s">
        <v>63</v>
      </c>
    </row>
    <row r="37" spans="3:14" x14ac:dyDescent="0.25">
      <c r="D37" s="2">
        <f>phi_02</f>
        <v>0.5</v>
      </c>
      <c r="E37" s="23"/>
      <c r="H37" s="24" t="s">
        <v>64</v>
      </c>
      <c r="I37" t="s">
        <v>65</v>
      </c>
    </row>
    <row r="38" spans="3:14" x14ac:dyDescent="0.25">
      <c r="D38" s="30" t="s">
        <v>66</v>
      </c>
      <c r="E38" s="30"/>
      <c r="H38" s="24" t="s">
        <v>67</v>
      </c>
      <c r="I38" t="s">
        <v>68</v>
      </c>
    </row>
    <row r="39" spans="3:14" x14ac:dyDescent="0.25">
      <c r="D39">
        <f>phi_01</f>
        <v>0.5</v>
      </c>
      <c r="E39">
        <f>phi_02</f>
        <v>0.5</v>
      </c>
      <c r="H39" s="24" t="s">
        <v>78</v>
      </c>
      <c r="I39" t="s">
        <v>69</v>
      </c>
    </row>
    <row r="40" spans="3:14" ht="45" customHeight="1" x14ac:dyDescent="0.25">
      <c r="D40" s="32" t="s">
        <v>70</v>
      </c>
      <c r="E40" s="32"/>
    </row>
    <row r="41" spans="3:14" x14ac:dyDescent="0.25">
      <c r="D41">
        <f>_xlfn.COVARIANCE.S(E3:E32,E3:E32)</f>
        <v>121.42450951622619</v>
      </c>
      <c r="E41">
        <f>_xlfn.COVARIANCE.S(F3:F32,E3:E32)</f>
        <v>59.320054168384864</v>
      </c>
    </row>
    <row r="42" spans="3:14" x14ac:dyDescent="0.25">
      <c r="D42">
        <f>_xlfn.COVARIANCE.S(E3:E32,F3:F32)</f>
        <v>59.320054168384864</v>
      </c>
      <c r="E42">
        <f>_xlfn.COVARIANCE.S(F3:F32,F3:F32)</f>
        <v>30.686785299487759</v>
      </c>
    </row>
    <row r="43" spans="3:14" x14ac:dyDescent="0.25">
      <c r="D43" s="30" t="s">
        <v>71</v>
      </c>
      <c r="E43" s="30"/>
    </row>
    <row r="44" spans="3:14" x14ac:dyDescent="0.25">
      <c r="D44">
        <f t="array" ref="D44:E45">MMULT(TRANSPOSE(E3:F32),E3:F32)/(COUNT(F3:F32)-1)</f>
        <v>121.42450951622619</v>
      </c>
      <c r="E44">
        <v>59.320054168384871</v>
      </c>
      <c r="H44" s="24"/>
    </row>
    <row r="45" spans="3:14" x14ac:dyDescent="0.25">
      <c r="D45">
        <v>59.320054168384871</v>
      </c>
      <c r="E45">
        <v>30.686785299487763</v>
      </c>
      <c r="H45" s="24"/>
    </row>
    <row r="46" spans="3:14" x14ac:dyDescent="0.25">
      <c r="D46" s="26" t="s">
        <v>58</v>
      </c>
      <c r="E46" s="25"/>
      <c r="H46" s="24"/>
    </row>
    <row r="47" spans="3:14" x14ac:dyDescent="0.25">
      <c r="D47" s="23">
        <f t="array" ref="D47">MMULT(MMULT(D39:E39,D44:E45),D36:D37)</f>
        <v>67.687850788120926</v>
      </c>
      <c r="E47" s="23"/>
      <c r="H47" s="24"/>
    </row>
    <row r="48" spans="3:14" x14ac:dyDescent="0.25">
      <c r="H48" s="24"/>
    </row>
  </sheetData>
  <mergeCells count="5">
    <mergeCell ref="P13:Q13"/>
    <mergeCell ref="P23:Q23"/>
    <mergeCell ref="D38:E38"/>
    <mergeCell ref="D40:E40"/>
    <mergeCell ref="D43:E4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alk"/>
  <dimension ref="C2:C19"/>
  <sheetViews>
    <sheetView workbookViewId="0">
      <selection activeCell="F24" sqref="F24"/>
    </sheetView>
  </sheetViews>
  <sheetFormatPr defaultRowHeight="15" x14ac:dyDescent="0.25"/>
  <cols>
    <col min="3" max="3" width="12.42578125" customWidth="1"/>
  </cols>
  <sheetData>
    <row r="2" spans="3:3" x14ac:dyDescent="0.25">
      <c r="C2" s="9" t="s">
        <v>37</v>
      </c>
    </row>
    <row r="3" spans="3:3" x14ac:dyDescent="0.25">
      <c r="C3" t="s">
        <v>29</v>
      </c>
    </row>
    <row r="4" spans="3:3" x14ac:dyDescent="0.25">
      <c r="C4" t="s">
        <v>31</v>
      </c>
    </row>
    <row r="5" spans="3:3" x14ac:dyDescent="0.25">
      <c r="C5" t="s">
        <v>39</v>
      </c>
    </row>
    <row r="6" spans="3:3" x14ac:dyDescent="0.25">
      <c r="C6" t="s">
        <v>25</v>
      </c>
    </row>
    <row r="7" spans="3:3" x14ac:dyDescent="0.25">
      <c r="C7" t="s">
        <v>26</v>
      </c>
    </row>
    <row r="8" spans="3:3" x14ac:dyDescent="0.25">
      <c r="C8" t="s">
        <v>27</v>
      </c>
    </row>
    <row r="9" spans="3:3" x14ac:dyDescent="0.25">
      <c r="C9" t="s">
        <v>28</v>
      </c>
    </row>
    <row r="10" spans="3:3" x14ac:dyDescent="0.25">
      <c r="C10" t="s">
        <v>33</v>
      </c>
    </row>
    <row r="11" spans="3:3" x14ac:dyDescent="0.25">
      <c r="C11" t="s">
        <v>30</v>
      </c>
    </row>
    <row r="12" spans="3:3" x14ac:dyDescent="0.25">
      <c r="C12" t="s">
        <v>32</v>
      </c>
    </row>
    <row r="13" spans="3:3" x14ac:dyDescent="0.25">
      <c r="C13" t="s">
        <v>40</v>
      </c>
    </row>
    <row r="14" spans="3:3" x14ac:dyDescent="0.25">
      <c r="C14" t="s">
        <v>26</v>
      </c>
    </row>
    <row r="15" spans="3:3" x14ac:dyDescent="0.25">
      <c r="C15" t="s">
        <v>27</v>
      </c>
    </row>
    <row r="16" spans="3:3" x14ac:dyDescent="0.25">
      <c r="C16" t="s">
        <v>41</v>
      </c>
    </row>
    <row r="17" spans="3:3" x14ac:dyDescent="0.25">
      <c r="C17" t="s">
        <v>34</v>
      </c>
    </row>
    <row r="18" spans="3:3" x14ac:dyDescent="0.25">
      <c r="C18" t="s">
        <v>35</v>
      </c>
    </row>
    <row r="19" spans="3:3" x14ac:dyDescent="0.25">
      <c r="C19" t="s">
        <v>36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Explain</vt:lpstr>
      <vt:lpstr>PCAMaxVar</vt:lpstr>
      <vt:lpstr>PCAMinDist</vt:lpstr>
      <vt:lpstr>PCADemoScaled</vt:lpstr>
      <vt:lpstr>Talk</vt:lpstr>
      <vt:lpstr>PCAMaxVar!normphi</vt:lpstr>
      <vt:lpstr>PCAMinDist!normphi</vt:lpstr>
      <vt:lpstr>PCAMaxVar!ph1ph2</vt:lpstr>
      <vt:lpstr>PCAMinDist!ph1ph2</vt:lpstr>
      <vt:lpstr>PCADemoScaled!phi_01</vt:lpstr>
      <vt:lpstr>PCAMaxVar!phi_01</vt:lpstr>
      <vt:lpstr>PCAMinDist!phi_01</vt:lpstr>
      <vt:lpstr>PCADemoScaled!phi_02</vt:lpstr>
      <vt:lpstr>PCAMaxVar!phi_02</vt:lpstr>
      <vt:lpstr>PCAMinDist!phi_02</vt:lpstr>
      <vt:lpstr>PCAMaxVar!ShowProjection</vt:lpstr>
      <vt:lpstr>PCAMinDist!ShowProjection</vt:lpstr>
      <vt:lpstr>PCAMaxVar!slopeintercept</vt:lpstr>
      <vt:lpstr>PCAMinDist!slopeintercept</vt:lpstr>
      <vt:lpstr>PCAMaxVar!sumdist</vt:lpstr>
      <vt:lpstr>PCAMinDist!sumdist</vt:lpstr>
      <vt:lpstr>PCAMaxVar!varz1</vt:lpstr>
      <vt:lpstr>PCAMinDist!varz1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Murray</dc:creator>
  <cp:lastModifiedBy>David</cp:lastModifiedBy>
  <cp:lastPrinted>2017-03-22T13:24:00Z</cp:lastPrinted>
  <dcterms:created xsi:type="dcterms:W3CDTF">2017-01-10T14:39:36Z</dcterms:created>
  <dcterms:modified xsi:type="dcterms:W3CDTF">2019-01-21T20:22:14Z</dcterms:modified>
</cp:coreProperties>
</file>
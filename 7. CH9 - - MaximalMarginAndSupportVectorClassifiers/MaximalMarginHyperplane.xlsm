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MyDocuments\BUAD5082 - Machine Learning 2\04SupportVectorMachines\"/>
    </mc:Choice>
  </mc:AlternateContent>
  <bookViews>
    <workbookView xWindow="0" yWindow="0" windowWidth="21210" windowHeight="8130"/>
  </bookViews>
  <sheets>
    <sheet name="MaximalMarginClassifier" sheetId="1" r:id="rId1"/>
    <sheet name="InnerProduct" sheetId="3" r:id="rId2"/>
  </sheets>
  <externalReferences>
    <externalReference r:id="rId3"/>
  </externalReferences>
  <definedNames>
    <definedName name="beta0" localSheetId="1">[1]MaximalMarginClassifier!$E$3</definedName>
    <definedName name="beta0">MaximalMarginClassifier!$E$3</definedName>
    <definedName name="beta1" localSheetId="1">[1]MaximalMarginClassifier!$F$3</definedName>
    <definedName name="beta1">MaximalMarginClassifier!$F$3</definedName>
    <definedName name="beta2" localSheetId="1">[1]MaximalMarginClassifier!$G$3</definedName>
    <definedName name="beta2">MaximalMarginClassifier!$G$3</definedName>
    <definedName name="beta3">#REF!</definedName>
    <definedName name="Betas">MaximalMarginClassifier!$E$3:$G$3</definedName>
    <definedName name="intercept" localSheetId="1">[1]MaximalMarginClassifier!$E$6</definedName>
    <definedName name="intercept">MaximalMarginClassifier!$E$6</definedName>
    <definedName name="Link1" localSheetId="1">[1]MaximalMarginClassifier!$E$4</definedName>
    <definedName name="Link1">MaximalMarginClassifier!$E$4</definedName>
    <definedName name="Link2" localSheetId="1">[1]MaximalMarginClassifier!$F$4</definedName>
    <definedName name="Link2">MaximalMarginClassifier!$F$4</definedName>
    <definedName name="Margin">[1]SupportVectorClassifier!$AB$3</definedName>
    <definedName name="ResetRange">MaximalMarginClassifier!$E$49:$G$49</definedName>
    <definedName name="ResetX2Range">MaximalMarginClassifier!$C$49:$C$90</definedName>
    <definedName name="showLine" localSheetId="1">[1]MaximalMarginClassifier!$N$7</definedName>
    <definedName name="showLine">MaximalMarginClassifier!$N$7</definedName>
    <definedName name="showMargins" localSheetId="1">[1]MaximalMarginClassifier!$N$9</definedName>
    <definedName name="showMargins">MaximalMarginClassifier!$N$9</definedName>
    <definedName name="showPoints" localSheetId="1">[1]MaximalMarginClassifier!$N$8</definedName>
    <definedName name="showPoints">MaximalMarginClassifier!$N$8</definedName>
    <definedName name="slope" localSheetId="1">[1]MaximalMarginClassifier!$F$6</definedName>
    <definedName name="slope">MaximalMarginClassifier!$F$6</definedName>
    <definedName name="solver_adj" localSheetId="0" hidden="1">MaximalMarginClassifier!$E$3:$G$3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MaximalMarginClassifier!$I$3</definedName>
    <definedName name="solver_lhs2" localSheetId="0" hidden="1">MaximalMarginClassifier!$W$3:$W$44</definedName>
    <definedName name="solver_lhs3" localSheetId="0" hidden="1">MaximalMarginClassifier!$Z$3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MaximalMarginClassifier!$Z$3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MaximalMarginClassifier!$Z$3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artingC">[1]SupportVectorClassifier!$AB$9</definedName>
    <definedName name="sym">[1]SupportVectorClassifier!#REF!</definedName>
    <definedName name="x2Range">MaximalMarginClassifier!$U$3:$U$44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3" l="1"/>
  <c r="F14" i="3"/>
  <c r="E14" i="3"/>
  <c r="D14" i="3"/>
  <c r="C14" i="3"/>
  <c r="G13" i="3"/>
  <c r="F13" i="3"/>
  <c r="E13" i="3"/>
  <c r="D13" i="3"/>
  <c r="C13" i="3"/>
  <c r="G12" i="3"/>
  <c r="F12" i="3"/>
  <c r="E12" i="3"/>
  <c r="D12" i="3"/>
  <c r="C12" i="3"/>
  <c r="G11" i="3"/>
  <c r="F11" i="3"/>
  <c r="E11" i="3"/>
  <c r="D11" i="3"/>
  <c r="C11" i="3"/>
  <c r="G10" i="3"/>
  <c r="F10" i="3"/>
  <c r="E10" i="3"/>
  <c r="D10" i="3"/>
  <c r="C10" i="3"/>
  <c r="G9" i="3"/>
  <c r="F9" i="3"/>
  <c r="E9" i="3"/>
  <c r="D9" i="3"/>
  <c r="C9" i="3"/>
  <c r="G8" i="3"/>
  <c r="F8" i="3"/>
  <c r="E8" i="3"/>
  <c r="D8" i="3"/>
  <c r="C8" i="3"/>
  <c r="G7" i="3"/>
  <c r="F7" i="3"/>
  <c r="E7" i="3"/>
  <c r="D7" i="3"/>
  <c r="C7" i="3"/>
  <c r="G6" i="3"/>
  <c r="F6" i="3"/>
  <c r="E6" i="3"/>
  <c r="D6" i="3"/>
  <c r="C6" i="3"/>
  <c r="G5" i="3"/>
  <c r="F5" i="3"/>
  <c r="E5" i="3"/>
  <c r="D5" i="3"/>
  <c r="C5" i="3"/>
  <c r="C16" i="3" l="1"/>
  <c r="F15" i="3"/>
  <c r="F28" i="3" s="1"/>
  <c r="E15" i="3"/>
  <c r="H6" i="3"/>
  <c r="H8" i="3"/>
  <c r="H13" i="3"/>
  <c r="I5" i="3"/>
  <c r="I6" i="3"/>
  <c r="I7" i="3"/>
  <c r="I8" i="3"/>
  <c r="J8" i="3" s="1"/>
  <c r="I9" i="3"/>
  <c r="I10" i="3"/>
  <c r="I11" i="3"/>
  <c r="I12" i="3"/>
  <c r="I13" i="3"/>
  <c r="J13" i="3" s="1"/>
  <c r="I14" i="3"/>
  <c r="D16" i="3"/>
  <c r="H5" i="3"/>
  <c r="K5" i="3" s="1"/>
  <c r="H9" i="3"/>
  <c r="L9" i="3" s="1"/>
  <c r="H12" i="3"/>
  <c r="E16" i="3"/>
  <c r="C15" i="3"/>
  <c r="F16" i="3"/>
  <c r="G15" i="3"/>
  <c r="H10" i="3"/>
  <c r="N10" i="3" s="1"/>
  <c r="D15" i="3"/>
  <c r="G16" i="3"/>
  <c r="H11" i="3"/>
  <c r="K11" i="3" s="1"/>
  <c r="H7" i="3"/>
  <c r="H14" i="3"/>
  <c r="G24" i="3" l="1"/>
  <c r="J12" i="3"/>
  <c r="K14" i="3"/>
  <c r="C20" i="3"/>
  <c r="D23" i="3"/>
  <c r="L7" i="3"/>
  <c r="L6" i="3"/>
  <c r="C23" i="3"/>
  <c r="F20" i="3"/>
  <c r="M5" i="3"/>
  <c r="N14" i="3"/>
  <c r="L10" i="3"/>
  <c r="K13" i="3"/>
  <c r="C21" i="3"/>
  <c r="K10" i="3"/>
  <c r="K8" i="3"/>
  <c r="N7" i="3"/>
  <c r="F24" i="3"/>
  <c r="N5" i="3"/>
  <c r="E21" i="3"/>
  <c r="D21" i="3"/>
  <c r="J14" i="3"/>
  <c r="C29" i="3"/>
  <c r="N6" i="3"/>
  <c r="N8" i="3"/>
  <c r="K7" i="3"/>
  <c r="L13" i="3"/>
  <c r="N9" i="3"/>
  <c r="E22" i="3"/>
  <c r="D20" i="3"/>
  <c r="K9" i="3"/>
  <c r="M14" i="3"/>
  <c r="J9" i="3"/>
  <c r="G20" i="3"/>
  <c r="G26" i="3"/>
  <c r="G25" i="3"/>
  <c r="F25" i="3"/>
  <c r="K6" i="3"/>
  <c r="L5" i="3"/>
  <c r="N11" i="3"/>
  <c r="E29" i="3"/>
  <c r="G23" i="3"/>
  <c r="C28" i="3"/>
  <c r="M10" i="3"/>
  <c r="L11" i="3"/>
  <c r="C27" i="3"/>
  <c r="K12" i="3"/>
  <c r="G29" i="3"/>
  <c r="F23" i="3"/>
  <c r="D29" i="3"/>
  <c r="D28" i="3"/>
  <c r="N12" i="3"/>
  <c r="L12" i="3"/>
  <c r="G22" i="3"/>
  <c r="G27" i="3"/>
  <c r="C25" i="3"/>
  <c r="C26" i="3"/>
  <c r="F26" i="3"/>
  <c r="J7" i="3"/>
  <c r="E26" i="3"/>
  <c r="G21" i="3"/>
  <c r="C22" i="3"/>
  <c r="J11" i="3"/>
  <c r="M11" i="3"/>
  <c r="F21" i="3"/>
  <c r="M12" i="3"/>
  <c r="N13" i="3"/>
  <c r="E24" i="3"/>
  <c r="G28" i="3"/>
  <c r="M6" i="3"/>
  <c r="F27" i="3"/>
  <c r="M8" i="3"/>
  <c r="E25" i="3"/>
  <c r="E27" i="3"/>
  <c r="J10" i="3"/>
  <c r="M9" i="3"/>
  <c r="F29" i="3"/>
  <c r="M13" i="3"/>
  <c r="E28" i="3"/>
  <c r="D27" i="3"/>
  <c r="D26" i="3"/>
  <c r="L14" i="3"/>
  <c r="J6" i="3"/>
  <c r="D25" i="3"/>
  <c r="M7" i="3"/>
  <c r="D24" i="3"/>
  <c r="J5" i="3"/>
  <c r="C24" i="3"/>
  <c r="L8" i="3"/>
  <c r="E20" i="3"/>
  <c r="F22" i="3"/>
  <c r="E23" i="3"/>
  <c r="D22" i="3"/>
  <c r="I21" i="3" l="1"/>
  <c r="I23" i="3"/>
  <c r="P14" i="3"/>
  <c r="P8" i="3"/>
  <c r="P12" i="3"/>
  <c r="Q14" i="3"/>
  <c r="C31" i="3"/>
  <c r="H23" i="3"/>
  <c r="R14" i="3"/>
  <c r="F30" i="3"/>
  <c r="O8" i="3"/>
  <c r="I29" i="3"/>
  <c r="O13" i="3"/>
  <c r="P9" i="3"/>
  <c r="O9" i="3"/>
  <c r="R10" i="3"/>
  <c r="Q10" i="3"/>
  <c r="Q9" i="3"/>
  <c r="F31" i="3"/>
  <c r="R9" i="3"/>
  <c r="P5" i="3"/>
  <c r="O5" i="3"/>
  <c r="R6" i="3"/>
  <c r="Q6" i="3"/>
  <c r="P7" i="3"/>
  <c r="O7" i="3"/>
  <c r="R8" i="3"/>
  <c r="Q8" i="3"/>
  <c r="F33" i="3"/>
  <c r="I26" i="3"/>
  <c r="H26" i="3"/>
  <c r="I28" i="3"/>
  <c r="H28" i="3"/>
  <c r="O14" i="3"/>
  <c r="F34" i="3"/>
  <c r="D33" i="3"/>
  <c r="D30" i="3"/>
  <c r="D34" i="3"/>
  <c r="D31" i="3"/>
  <c r="P11" i="3"/>
  <c r="O11" i="3"/>
  <c r="R12" i="3"/>
  <c r="Q12" i="3"/>
  <c r="Q5" i="3"/>
  <c r="C34" i="3"/>
  <c r="O12" i="3"/>
  <c r="P6" i="3"/>
  <c r="O6" i="3"/>
  <c r="R7" i="3"/>
  <c r="Q7" i="3"/>
  <c r="E30" i="3"/>
  <c r="E33" i="3"/>
  <c r="E34" i="3"/>
  <c r="E31" i="3"/>
  <c r="H22" i="3"/>
  <c r="I22" i="3"/>
  <c r="R5" i="3"/>
  <c r="I20" i="3"/>
  <c r="Q13" i="3"/>
  <c r="H20" i="3"/>
  <c r="R11" i="3"/>
  <c r="Q11" i="3"/>
  <c r="P10" i="3"/>
  <c r="O10" i="3"/>
  <c r="H21" i="3"/>
  <c r="H29" i="3"/>
  <c r="C30" i="3"/>
  <c r="P13" i="3"/>
  <c r="R13" i="3"/>
  <c r="I25" i="3"/>
  <c r="H25" i="3"/>
  <c r="H24" i="3"/>
  <c r="I24" i="3"/>
  <c r="I27" i="3"/>
  <c r="H27" i="3"/>
  <c r="G34" i="3"/>
  <c r="G31" i="3"/>
  <c r="G30" i="3"/>
  <c r="G33" i="3"/>
  <c r="C33" i="3"/>
  <c r="G26" i="1" l="1"/>
  <c r="F26" i="1"/>
  <c r="E26" i="1" l="1"/>
  <c r="I26" i="1" s="1"/>
  <c r="J26" i="1"/>
  <c r="C3" i="1" l="1"/>
  <c r="G50" i="1" l="1"/>
  <c r="F50" i="1"/>
  <c r="I3" i="1" l="1"/>
  <c r="T4" i="1" l="1"/>
  <c r="T12" i="1"/>
  <c r="T20" i="1"/>
  <c r="T28" i="1"/>
  <c r="T36" i="1"/>
  <c r="T44" i="1"/>
  <c r="T5" i="1"/>
  <c r="T13" i="1"/>
  <c r="T21" i="1"/>
  <c r="T29" i="1"/>
  <c r="T3" i="1"/>
  <c r="T6" i="1"/>
  <c r="T14" i="1"/>
  <c r="T22" i="1"/>
  <c r="T30" i="1"/>
  <c r="T38" i="1"/>
  <c r="T41" i="1"/>
  <c r="T37" i="1"/>
  <c r="T7" i="1"/>
  <c r="T15" i="1"/>
  <c r="T23" i="1"/>
  <c r="T31" i="1"/>
  <c r="T39" i="1"/>
  <c r="T17" i="1"/>
  <c r="T33" i="1"/>
  <c r="T43" i="1"/>
  <c r="T8" i="1"/>
  <c r="T16" i="1"/>
  <c r="T24" i="1"/>
  <c r="T32" i="1"/>
  <c r="T40" i="1"/>
  <c r="T9" i="1"/>
  <c r="T25" i="1"/>
  <c r="T10" i="1"/>
  <c r="T18" i="1"/>
  <c r="T26" i="1"/>
  <c r="T34" i="1"/>
  <c r="T42" i="1"/>
  <c r="T11" i="1"/>
  <c r="T19" i="1"/>
  <c r="T27" i="1"/>
  <c r="T35" i="1"/>
  <c r="F6" i="1"/>
  <c r="C13" i="1" l="1"/>
  <c r="C14" i="1"/>
  <c r="C15" i="1"/>
  <c r="C16" i="1"/>
  <c r="C17" i="1"/>
  <c r="C18" i="1"/>
  <c r="C19" i="1"/>
  <c r="C20" i="1"/>
  <c r="C21" i="1"/>
  <c r="C22" i="1"/>
  <c r="C23" i="1"/>
  <c r="C11" i="1"/>
  <c r="C12" i="1"/>
  <c r="C4" i="1"/>
  <c r="C5" i="1"/>
  <c r="C6" i="1"/>
  <c r="C7" i="1"/>
  <c r="C8" i="1"/>
  <c r="C9" i="1"/>
  <c r="C10" i="1"/>
  <c r="E6" i="1" l="1"/>
  <c r="V17" i="1" l="1"/>
  <c r="X17" i="1"/>
  <c r="V19" i="1"/>
  <c r="X19" i="1"/>
  <c r="X35" i="1"/>
  <c r="V35" i="1"/>
  <c r="X10" i="1"/>
  <c r="V10" i="1"/>
  <c r="V25" i="1"/>
  <c r="X25" i="1"/>
  <c r="X22" i="1"/>
  <c r="V22" i="1"/>
  <c r="X44" i="1"/>
  <c r="V44" i="1"/>
  <c r="V13" i="1"/>
  <c r="X13" i="1"/>
  <c r="X27" i="1"/>
  <c r="V27" i="1"/>
  <c r="X8" i="1"/>
  <c r="V8" i="1"/>
  <c r="X43" i="1"/>
  <c r="V43" i="1"/>
  <c r="V24" i="1"/>
  <c r="X24" i="1"/>
  <c r="V38" i="1"/>
  <c r="X38" i="1"/>
  <c r="V12" i="1"/>
  <c r="X12" i="1"/>
  <c r="X41" i="1"/>
  <c r="V41" i="1"/>
  <c r="V14" i="1"/>
  <c r="X14" i="1"/>
  <c r="X36" i="1"/>
  <c r="V36" i="1"/>
  <c r="V4" i="1"/>
  <c r="X4" i="1"/>
  <c r="V3" i="1"/>
  <c r="X3" i="1"/>
  <c r="V21" i="1"/>
  <c r="X21" i="1"/>
  <c r="X31" i="1"/>
  <c r="V31" i="1"/>
  <c r="W19" i="1"/>
  <c r="W35" i="1"/>
  <c r="W10" i="1"/>
  <c r="W25" i="1"/>
  <c r="W22" i="1"/>
  <c r="W17" i="1"/>
  <c r="W44" i="1"/>
  <c r="W13" i="1"/>
  <c r="W27" i="1"/>
  <c r="W8" i="1"/>
  <c r="W43" i="1"/>
  <c r="W24" i="1"/>
  <c r="W38" i="1"/>
  <c r="W12" i="1"/>
  <c r="W41" i="1"/>
  <c r="W14" i="1"/>
  <c r="W36" i="1"/>
  <c r="W4" i="1"/>
  <c r="W3" i="1"/>
  <c r="W21" i="1"/>
  <c r="W31" i="1"/>
  <c r="X26" i="1"/>
  <c r="V26" i="1"/>
  <c r="V34" i="1"/>
  <c r="X34" i="1"/>
  <c r="V20" i="1"/>
  <c r="X20" i="1"/>
  <c r="V7" i="1"/>
  <c r="X7" i="1"/>
  <c r="X32" i="1"/>
  <c r="V32" i="1"/>
  <c r="V9" i="1"/>
  <c r="X9" i="1"/>
  <c r="V33" i="1"/>
  <c r="X33" i="1"/>
  <c r="V29" i="1"/>
  <c r="X29" i="1"/>
  <c r="V18" i="1"/>
  <c r="X18" i="1"/>
  <c r="X16" i="1"/>
  <c r="V16" i="1"/>
  <c r="V6" i="1"/>
  <c r="X6" i="1"/>
  <c r="V28" i="1"/>
  <c r="X28" i="1"/>
  <c r="V15" i="1"/>
  <c r="X15" i="1"/>
  <c r="X5" i="1"/>
  <c r="V5" i="1"/>
  <c r="X37" i="1"/>
  <c r="V37" i="1"/>
  <c r="X39" i="1"/>
  <c r="V39" i="1"/>
  <c r="X42" i="1"/>
  <c r="V42" i="1"/>
  <c r="X40" i="1"/>
  <c r="V40" i="1"/>
  <c r="V23" i="1"/>
  <c r="X23" i="1"/>
  <c r="V30" i="1"/>
  <c r="X30" i="1"/>
  <c r="V11" i="1"/>
  <c r="X11" i="1"/>
  <c r="W18" i="1"/>
  <c r="W39" i="1"/>
  <c r="W34" i="1"/>
  <c r="W42" i="1"/>
  <c r="W16" i="1"/>
  <c r="W20" i="1"/>
  <c r="W40" i="1"/>
  <c r="W6" i="1"/>
  <c r="W7" i="1"/>
  <c r="W23" i="1"/>
  <c r="W28" i="1"/>
  <c r="W32" i="1"/>
  <c r="W9" i="1"/>
  <c r="W15" i="1"/>
  <c r="W30" i="1"/>
  <c r="W33" i="1"/>
  <c r="W5" i="1"/>
  <c r="W11" i="1"/>
  <c r="W37" i="1"/>
  <c r="W29" i="1"/>
  <c r="W26" i="1"/>
  <c r="Z3" i="1" l="1"/>
  <c r="O52" i="1" l="1"/>
  <c r="L50" i="1" s="1"/>
  <c r="P52" i="1"/>
  <c r="L56" i="1" l="1"/>
  <c r="L67" i="1"/>
  <c r="L57" i="1"/>
  <c r="L59" i="1"/>
  <c r="L62" i="1"/>
  <c r="L63" i="1"/>
  <c r="L53" i="1"/>
  <c r="L66" i="1"/>
  <c r="L69" i="1"/>
  <c r="L60" i="1"/>
  <c r="L70" i="1"/>
  <c r="L54" i="1"/>
  <c r="L55" i="1"/>
  <c r="L64" i="1"/>
  <c r="L68" i="1"/>
  <c r="L65" i="1"/>
  <c r="L51" i="1"/>
  <c r="L58" i="1"/>
  <c r="L61" i="1"/>
  <c r="L52" i="1"/>
  <c r="M52" i="1"/>
  <c r="M58" i="1"/>
  <c r="M54" i="1"/>
  <c r="M62" i="1"/>
  <c r="M50" i="1"/>
  <c r="M60" i="1"/>
  <c r="M67" i="1"/>
  <c r="M51" i="1"/>
  <c r="M63" i="1"/>
  <c r="M64" i="1"/>
  <c r="M56" i="1"/>
  <c r="M70" i="1"/>
  <c r="M53" i="1"/>
  <c r="M68" i="1"/>
  <c r="M55" i="1"/>
  <c r="M69" i="1"/>
  <c r="M57" i="1"/>
  <c r="M65" i="1"/>
  <c r="M59" i="1"/>
  <c r="M61" i="1"/>
  <c r="M66" i="1"/>
</calcChain>
</file>

<file path=xl/sharedStrings.xml><?xml version="1.0" encoding="utf-8"?>
<sst xmlns="http://schemas.openxmlformats.org/spreadsheetml/2006/main" count="96" uniqueCount="57">
  <si>
    <t>Slope</t>
  </si>
  <si>
    <t>Intercept</t>
  </si>
  <si>
    <r>
      <t>b</t>
    </r>
    <r>
      <rPr>
        <b/>
        <vertAlign val="subscript"/>
        <sz val="11"/>
        <color theme="1"/>
        <rFont val="Symbol"/>
        <family val="1"/>
        <charset val="2"/>
      </rPr>
      <t>0</t>
    </r>
  </si>
  <si>
    <r>
      <t>b</t>
    </r>
    <r>
      <rPr>
        <b/>
        <vertAlign val="subscript"/>
        <sz val="11"/>
        <color theme="1"/>
        <rFont val="Symbol"/>
        <family val="1"/>
        <charset val="2"/>
      </rPr>
      <t>1</t>
    </r>
  </si>
  <si>
    <r>
      <t>b</t>
    </r>
    <r>
      <rPr>
        <b/>
        <vertAlign val="subscript"/>
        <sz val="11"/>
        <color theme="1"/>
        <rFont val="Symbol"/>
        <family val="1"/>
        <charset val="2"/>
      </rPr>
      <t>2</t>
    </r>
  </si>
  <si>
    <r>
      <rPr>
        <b/>
        <i/>
        <sz val="11"/>
        <color theme="1"/>
        <rFont val="Calibri"/>
        <family val="2"/>
        <scheme val="minor"/>
      </rPr>
      <t>x</t>
    </r>
    <r>
      <rPr>
        <b/>
        <vertAlign val="subscript"/>
        <sz val="11"/>
        <color theme="1"/>
        <rFont val="Calibri"/>
        <family val="2"/>
      </rPr>
      <t>1</t>
    </r>
  </si>
  <si>
    <r>
      <rPr>
        <b/>
        <i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</si>
  <si>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y</t>
  </si>
  <si>
    <t>M</t>
  </si>
  <si>
    <t>Recall that the distance between a point (x, y) and a line y = mx+b is abs(mx-y+b)/sqrt(m^2+1)</t>
  </si>
  <si>
    <t>Dist</t>
  </si>
  <si>
    <r>
      <t>x</t>
    </r>
    <r>
      <rPr>
        <b/>
        <vertAlign val="subscript"/>
        <sz val="11"/>
        <color theme="1"/>
        <rFont val="Calibri"/>
        <family val="2"/>
      </rPr>
      <t>2OnLine</t>
    </r>
  </si>
  <si>
    <r>
      <t>b</t>
    </r>
    <r>
      <rPr>
        <b/>
        <i/>
        <vertAlign val="subscript"/>
        <sz val="11"/>
        <color theme="1"/>
        <rFont val="Symbol"/>
        <family val="1"/>
        <charset val="2"/>
      </rPr>
      <t>1</t>
    </r>
    <r>
      <rPr>
        <b/>
        <i/>
        <vertAlign val="superscript"/>
        <sz val="11"/>
        <color theme="1"/>
        <rFont val="Symbol"/>
        <family val="1"/>
        <charset val="2"/>
      </rPr>
      <t>2</t>
    </r>
    <r>
      <rPr>
        <b/>
        <i/>
        <sz val="11"/>
        <color theme="1"/>
        <rFont val="Symbol"/>
        <family val="1"/>
        <charset val="2"/>
      </rPr>
      <t xml:space="preserve"> + b</t>
    </r>
    <r>
      <rPr>
        <b/>
        <i/>
        <vertAlign val="subscript"/>
        <sz val="11"/>
        <color theme="1"/>
        <rFont val="Symbol"/>
        <family val="1"/>
        <charset val="2"/>
      </rPr>
      <t>2</t>
    </r>
    <r>
      <rPr>
        <b/>
        <i/>
        <vertAlign val="superscript"/>
        <sz val="11"/>
        <color theme="1"/>
        <rFont val="Symbol"/>
        <family val="1"/>
        <charset val="2"/>
      </rPr>
      <t>2</t>
    </r>
  </si>
  <si>
    <t>&lt;--Start here</t>
  </si>
  <si>
    <t>&lt;--Get here manually</t>
  </si>
  <si>
    <t>Then Solve with Solver</t>
  </si>
  <si>
    <t>Line</t>
  </si>
  <si>
    <t>Demo</t>
  </si>
  <si>
    <t>x1</t>
  </si>
  <si>
    <t>x2</t>
  </si>
  <si>
    <t>x3</t>
  </si>
  <si>
    <t>x4</t>
  </si>
  <si>
    <t>x5</t>
  </si>
  <si>
    <t>Obs 1</t>
  </si>
  <si>
    <t>Obs 2</t>
  </si>
  <si>
    <t>Mean</t>
  </si>
  <si>
    <t>Stdev</t>
  </si>
  <si>
    <t>Margin Plots</t>
  </si>
  <si>
    <t>Red</t>
  </si>
  <si>
    <t>Blue</t>
  </si>
  <si>
    <t>Margin Intercepts</t>
  </si>
  <si>
    <t>Multiple</t>
  </si>
  <si>
    <t xml:space="preserve">A scaler multiple of </t>
  </si>
  <si>
    <t>the original betas... --&gt;</t>
  </si>
  <si>
    <t xml:space="preserve">&lt;--…defines the same hyperplane </t>
  </si>
  <si>
    <r>
      <rPr>
        <b/>
        <sz val="11"/>
        <color theme="1"/>
        <rFont val="Calibri"/>
        <family val="2"/>
      </rPr>
      <t>β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+x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</t>
    </r>
  </si>
  <si>
    <r>
      <t>y*(</t>
    </r>
    <r>
      <rPr>
        <b/>
        <sz val="11"/>
        <color theme="1"/>
        <rFont val="Calibri"/>
        <family val="2"/>
      </rPr>
      <t>β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+x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b)</t>
    </r>
  </si>
  <si>
    <t>Recall that the distance between a</t>
  </si>
  <si>
    <t xml:space="preserve">point (x, y) and a line y = mx+b is </t>
  </si>
  <si>
    <t>abs(mx-y+b)/sqrt(m^2+1)</t>
  </si>
  <si>
    <t xml:space="preserve">Inner product of two (standardized) observations (divided by p-1) is the correlation coefficient </t>
  </si>
  <si>
    <t>Beginning Values</t>
  </si>
  <si>
    <t>Standardized Values</t>
  </si>
  <si>
    <t>Result</t>
  </si>
  <si>
    <t>Inner Product/(p-1)</t>
  </si>
  <si>
    <t>Correlation (Sample)</t>
  </si>
  <si>
    <t>Obs 3</t>
  </si>
  <si>
    <t>Obs 4</t>
  </si>
  <si>
    <t>Obs 5</t>
  </si>
  <si>
    <t>Obs 6</t>
  </si>
  <si>
    <t>Obs 7</t>
  </si>
  <si>
    <t>Obs 8</t>
  </si>
  <si>
    <t>Obs 9</t>
  </si>
  <si>
    <t>Obs 10</t>
  </si>
  <si>
    <t xml:space="preserve">Inner product of two (standardized) variables (divided by n-1) is their correlation coefficient </t>
  </si>
  <si>
    <t>InnerProduct/(n-1)</t>
  </si>
  <si>
    <t>Correlation (sample)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</si>
</sst>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0.0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vertAlign val="subscript"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theme="1"/>
      <name val="Symbol"/>
      <family val="1"/>
      <charset val="2"/>
    </font>
    <font>
      <b/>
      <i/>
      <vertAlign val="subscript"/>
      <sz val="11"/>
      <color theme="1"/>
      <name val="Symbol"/>
      <family val="1"/>
      <charset val="2"/>
    </font>
    <font>
      <b/>
      <i/>
      <vertAlign val="superscript"/>
      <sz val="11"/>
      <color theme="1"/>
      <name val="Symbol"/>
      <family val="1"/>
      <charset val="2"/>
    </font>
    <font>
      <b/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0" xfId="0" applyFont="1" applyAlignment="1">
      <alignment horizontal="center"/>
    </xf>
    <xf numFmtId="0" fontId="15" fillId="0" borderId="0" xfId="0" applyFont="1"/>
    <xf numFmtId="0" fontId="1" fillId="0" borderId="0" xfId="0" applyFont="1" applyFill="1" applyBorder="1" applyAlignment="1">
      <alignment horizontal="center"/>
    </xf>
    <xf numFmtId="0" fontId="0" fillId="0" borderId="2" xfId="0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14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3" borderId="2" xfId="0" applyNumberForma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15" xfId="0" applyBorder="1"/>
    <xf numFmtId="2" fontId="0" fillId="0" borderId="16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/>
    <xf numFmtId="0" fontId="0" fillId="0" borderId="19" xfId="0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2" fontId="0" fillId="0" borderId="21" xfId="0" applyNumberFormat="1" applyBorder="1" applyAlignment="1">
      <alignment horizontal="center"/>
    </xf>
    <xf numFmtId="0" fontId="1" fillId="0" borderId="25" xfId="0" applyFont="1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1" fillId="0" borderId="22" xfId="0" applyFont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166" fontId="0" fillId="0" borderId="28" xfId="0" applyNumberFormat="1" applyBorder="1" applyAlignment="1">
      <alignment horizontal="center"/>
    </xf>
    <xf numFmtId="166" fontId="0" fillId="0" borderId="29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166" fontId="0" fillId="0" borderId="31" xfId="0" applyNumberFormat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MaximalMarginClassifier!$B$3:$B$23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MaximalMarginClassifier!$C$3:$C$23</c:f>
              <c:numCache>
                <c:formatCode>General</c:formatCode>
                <c:ptCount val="21"/>
                <c:pt idx="0">
                  <c:v>85</c:v>
                </c:pt>
                <c:pt idx="1">
                  <c:v>77</c:v>
                </c:pt>
                <c:pt idx="2">
                  <c:v>69</c:v>
                </c:pt>
                <c:pt idx="3">
                  <c:v>61</c:v>
                </c:pt>
                <c:pt idx="4">
                  <c:v>53</c:v>
                </c:pt>
                <c:pt idx="5">
                  <c:v>45</c:v>
                </c:pt>
                <c:pt idx="6">
                  <c:v>37</c:v>
                </c:pt>
                <c:pt idx="7">
                  <c:v>29</c:v>
                </c:pt>
                <c:pt idx="8">
                  <c:v>21</c:v>
                </c:pt>
                <c:pt idx="9">
                  <c:v>13</c:v>
                </c:pt>
                <c:pt idx="10">
                  <c:v>5</c:v>
                </c:pt>
                <c:pt idx="11">
                  <c:v>-3</c:v>
                </c:pt>
                <c:pt idx="12">
                  <c:v>-11</c:v>
                </c:pt>
                <c:pt idx="13">
                  <c:v>-19</c:v>
                </c:pt>
                <c:pt idx="14">
                  <c:v>-27</c:v>
                </c:pt>
                <c:pt idx="15">
                  <c:v>-35</c:v>
                </c:pt>
                <c:pt idx="16">
                  <c:v>-43</c:v>
                </c:pt>
                <c:pt idx="17">
                  <c:v>-51</c:v>
                </c:pt>
                <c:pt idx="18">
                  <c:v>-59</c:v>
                </c:pt>
                <c:pt idx="19">
                  <c:v>-67</c:v>
                </c:pt>
                <c:pt idx="20">
                  <c:v>-75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5-4FDB-A747-27FA039D55F1}"/>
            </c:ext>
          </c:extLst>
        </c:ser>
        <c:ser>
          <c:idx val="1"/>
          <c:order val="1"/>
          <c:tx>
            <c:v>Blues</c:v>
          </c:tx>
          <c:spPr>
            <a:ln w="25400" cap="rnd">
              <a:noFill/>
              <a:round/>
            </a:ln>
            <a:effectLst/>
            <a:extLst/>
          </c:spPr>
          <c:marker>
            <c:symbol val="none"/>
          </c:marker>
          <c:xVal>
            <c:numRef>
              <c:f>MaximalMarginClassifier!$S$3:$S$23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MaximalMarginClassifier!$U$3:$U$23</c:f>
              <c:numCache>
                <c:formatCode>General</c:formatCode>
                <c:ptCount val="21"/>
                <c:pt idx="0">
                  <c:v>35.333333333333336</c:v>
                </c:pt>
                <c:pt idx="1">
                  <c:v>31.666666666666668</c:v>
                </c:pt>
                <c:pt idx="2">
                  <c:v>26</c:v>
                </c:pt>
                <c:pt idx="3">
                  <c:v>31.333333333333332</c:v>
                </c:pt>
                <c:pt idx="4">
                  <c:v>31.666666666666668</c:v>
                </c:pt>
                <c:pt idx="5">
                  <c:v>17</c:v>
                </c:pt>
                <c:pt idx="6">
                  <c:v>31.333333333333332</c:v>
                </c:pt>
                <c:pt idx="7">
                  <c:v>10.666666666666666</c:v>
                </c:pt>
                <c:pt idx="8">
                  <c:v>27</c:v>
                </c:pt>
                <c:pt idx="9">
                  <c:v>28.333333333333332</c:v>
                </c:pt>
                <c:pt idx="10">
                  <c:v>28.666666666666668</c:v>
                </c:pt>
                <c:pt idx="11">
                  <c:v>19</c:v>
                </c:pt>
                <c:pt idx="12">
                  <c:v>23.333333333333332</c:v>
                </c:pt>
                <c:pt idx="13">
                  <c:v>10.666666666666666</c:v>
                </c:pt>
                <c:pt idx="14">
                  <c:v>3</c:v>
                </c:pt>
                <c:pt idx="15">
                  <c:v>20.333333333333332</c:v>
                </c:pt>
                <c:pt idx="16">
                  <c:v>0.66666666666666696</c:v>
                </c:pt>
                <c:pt idx="17">
                  <c:v>24</c:v>
                </c:pt>
                <c:pt idx="18">
                  <c:v>19.333333333333336</c:v>
                </c:pt>
                <c:pt idx="19">
                  <c:v>17.666666666666668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E0-4793-B0E9-11D60004F95E}"/>
            </c:ext>
          </c:extLst>
        </c:ser>
        <c:ser>
          <c:idx val="2"/>
          <c:order val="2"/>
          <c:tx>
            <c:v>Reds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MaximalMarginClassifier!$S$24:$S$44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MaximalMarginClassifier!$U$24:$U$44</c:f>
              <c:numCache>
                <c:formatCode>General</c:formatCode>
                <c:ptCount val="21"/>
                <c:pt idx="0">
                  <c:v>-15.666666666666668</c:v>
                </c:pt>
                <c:pt idx="1">
                  <c:v>-24.333333333333332</c:v>
                </c:pt>
                <c:pt idx="2">
                  <c:v>-2</c:v>
                </c:pt>
                <c:pt idx="3">
                  <c:v>-25.666666666666668</c:v>
                </c:pt>
                <c:pt idx="4">
                  <c:v>-9.3333333333333339</c:v>
                </c:pt>
                <c:pt idx="5">
                  <c:v>-4</c:v>
                </c:pt>
                <c:pt idx="6">
                  <c:v>-16.666666666666668</c:v>
                </c:pt>
                <c:pt idx="7">
                  <c:v>-4.333333333333333</c:v>
                </c:pt>
                <c:pt idx="8">
                  <c:v>-28</c:v>
                </c:pt>
                <c:pt idx="9">
                  <c:v>-22.666666666666668</c:v>
                </c:pt>
                <c:pt idx="10">
                  <c:v>-12.333333333333334</c:v>
                </c:pt>
                <c:pt idx="11">
                  <c:v>-15</c:v>
                </c:pt>
                <c:pt idx="12">
                  <c:v>-17.666666666666668</c:v>
                </c:pt>
                <c:pt idx="13">
                  <c:v>-13.333333333333334</c:v>
                </c:pt>
                <c:pt idx="14">
                  <c:v>-22</c:v>
                </c:pt>
                <c:pt idx="15">
                  <c:v>-23.666666666666668</c:v>
                </c:pt>
                <c:pt idx="16">
                  <c:v>-28.333333333333332</c:v>
                </c:pt>
                <c:pt idx="17">
                  <c:v>-27</c:v>
                </c:pt>
                <c:pt idx="18">
                  <c:v>-35.666666666666664</c:v>
                </c:pt>
                <c:pt idx="19">
                  <c:v>-36.333333333333336</c:v>
                </c:pt>
                <c:pt idx="20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E0-4793-B0E9-11D60004F95E}"/>
            </c:ext>
          </c:extLst>
        </c:ser>
        <c:ser>
          <c:idx val="3"/>
          <c:order val="3"/>
          <c:spPr>
            <a:ln w="1905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MaximalMarginClassifier!$K$50:$K$70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MaximalMarginClassifier!$L$50:$L$70</c:f>
              <c:numCache>
                <c:formatCode>General</c:formatCode>
                <c:ptCount val="21"/>
                <c:pt idx="0">
                  <c:v>576.79772264621147</c:v>
                </c:pt>
                <c:pt idx="1">
                  <c:v>568.79772264621147</c:v>
                </c:pt>
                <c:pt idx="2">
                  <c:v>560.79772264621147</c:v>
                </c:pt>
                <c:pt idx="3">
                  <c:v>552.79772264621147</c:v>
                </c:pt>
                <c:pt idx="4">
                  <c:v>544.79772264621147</c:v>
                </c:pt>
                <c:pt idx="5">
                  <c:v>536.79772264621147</c:v>
                </c:pt>
                <c:pt idx="6">
                  <c:v>528.79772264621147</c:v>
                </c:pt>
                <c:pt idx="7">
                  <c:v>520.79772264621147</c:v>
                </c:pt>
                <c:pt idx="8">
                  <c:v>512.79772264621147</c:v>
                </c:pt>
                <c:pt idx="9">
                  <c:v>504.79772264621147</c:v>
                </c:pt>
                <c:pt idx="10">
                  <c:v>496.79772264621147</c:v>
                </c:pt>
                <c:pt idx="11">
                  <c:v>488.79772264621147</c:v>
                </c:pt>
                <c:pt idx="12">
                  <c:v>480.79772264621147</c:v>
                </c:pt>
                <c:pt idx="13">
                  <c:v>472.79772264621147</c:v>
                </c:pt>
                <c:pt idx="14">
                  <c:v>464.79772264621147</c:v>
                </c:pt>
                <c:pt idx="15">
                  <c:v>456.79772264621147</c:v>
                </c:pt>
                <c:pt idx="16">
                  <c:v>448.79772264621147</c:v>
                </c:pt>
                <c:pt idx="17">
                  <c:v>440.79772264621147</c:v>
                </c:pt>
                <c:pt idx="18">
                  <c:v>432.79772264621147</c:v>
                </c:pt>
                <c:pt idx="19">
                  <c:v>424.79772264621147</c:v>
                </c:pt>
                <c:pt idx="20">
                  <c:v>416.79772264621147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A1-450E-B941-523E38270D4B}"/>
            </c:ext>
          </c:extLst>
        </c:ser>
        <c:ser>
          <c:idx val="4"/>
          <c:order val="4"/>
          <c:spPr>
            <a:ln w="1905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MaximalMarginClassifier!$K$50:$K$70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MaximalMarginClassifier!$M$50:$M$70</c:f>
              <c:numCache>
                <c:formatCode>General</c:formatCode>
                <c:ptCount val="21"/>
                <c:pt idx="0">
                  <c:v>-406.79772264621147</c:v>
                </c:pt>
                <c:pt idx="1">
                  <c:v>-414.79772264621147</c:v>
                </c:pt>
                <c:pt idx="2">
                  <c:v>-422.79772264621147</c:v>
                </c:pt>
                <c:pt idx="3">
                  <c:v>-430.79772264621147</c:v>
                </c:pt>
                <c:pt idx="4">
                  <c:v>-438.79772264621147</c:v>
                </c:pt>
                <c:pt idx="5">
                  <c:v>-446.79772264621147</c:v>
                </c:pt>
                <c:pt idx="6">
                  <c:v>-454.79772264621147</c:v>
                </c:pt>
                <c:pt idx="7">
                  <c:v>-462.79772264621147</c:v>
                </c:pt>
                <c:pt idx="8">
                  <c:v>-470.79772264621147</c:v>
                </c:pt>
                <c:pt idx="9">
                  <c:v>-478.79772264621147</c:v>
                </c:pt>
                <c:pt idx="10">
                  <c:v>-486.79772264621147</c:v>
                </c:pt>
                <c:pt idx="11">
                  <c:v>-494.79772264621147</c:v>
                </c:pt>
                <c:pt idx="12">
                  <c:v>-502.79772264621147</c:v>
                </c:pt>
                <c:pt idx="13">
                  <c:v>-510.79772264621147</c:v>
                </c:pt>
                <c:pt idx="14">
                  <c:v>-518.79772264621147</c:v>
                </c:pt>
                <c:pt idx="15">
                  <c:v>-526.79772264621147</c:v>
                </c:pt>
                <c:pt idx="16">
                  <c:v>-534.79772264621147</c:v>
                </c:pt>
                <c:pt idx="17">
                  <c:v>-542.79772264621147</c:v>
                </c:pt>
                <c:pt idx="18">
                  <c:v>-550.79772264621147</c:v>
                </c:pt>
                <c:pt idx="19">
                  <c:v>-558.79772264621147</c:v>
                </c:pt>
                <c:pt idx="20">
                  <c:v>-566.79772264621147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A1-450E-B941-523E38270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98272"/>
        <c:axId val="87205344"/>
      </c:scatterChart>
      <c:valAx>
        <c:axId val="87198272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5344"/>
        <c:crosses val="autoZero"/>
        <c:crossBetween val="midCat"/>
      </c:valAx>
      <c:valAx>
        <c:axId val="87205344"/>
        <c:scaling>
          <c:orientation val="minMax"/>
          <c:max val="40"/>
          <c:min val="-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982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0</xdr:row>
      <xdr:rowOff>114300</xdr:rowOff>
    </xdr:from>
    <xdr:to>
      <xdr:col>17</xdr:col>
      <xdr:colOff>0</xdr:colOff>
      <xdr:row>14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0</xdr:row>
          <xdr:rowOff>28575</xdr:rowOff>
        </xdr:from>
        <xdr:to>
          <xdr:col>21</xdr:col>
          <xdr:colOff>123825</xdr:colOff>
          <xdr:row>1</xdr:row>
          <xdr:rowOff>95250</xdr:rowOff>
        </xdr:to>
        <xdr:sp macro="" textlink="">
          <xdr:nvSpPr>
            <xdr:cNvPr id="2049" name="btnNewValue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180975</xdr:rowOff>
        </xdr:from>
        <xdr:to>
          <xdr:col>7</xdr:col>
          <xdr:colOff>581025</xdr:colOff>
          <xdr:row>2</xdr:row>
          <xdr:rowOff>57150</xdr:rowOff>
        </xdr:to>
        <xdr:sp macro="" textlink="">
          <xdr:nvSpPr>
            <xdr:cNvPr id="2050" name="btnSolv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334275</xdr:colOff>
      <xdr:row>6</xdr:row>
      <xdr:rowOff>152400</xdr:rowOff>
    </xdr:from>
    <xdr:to>
      <xdr:col>10</xdr:col>
      <xdr:colOff>608600</xdr:colOff>
      <xdr:row>22</xdr:row>
      <xdr:rowOff>75595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4275" y="1333500"/>
          <a:ext cx="4913000" cy="29711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38100</xdr:rowOff>
        </xdr:from>
        <xdr:to>
          <xdr:col>8</xdr:col>
          <xdr:colOff>419100</xdr:colOff>
          <xdr:row>4</xdr:row>
          <xdr:rowOff>85725</xdr:rowOff>
        </xdr:to>
        <xdr:sp macro="" textlink="">
          <xdr:nvSpPr>
            <xdr:cNvPr id="2052" name="chkShowLin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57150</xdr:rowOff>
        </xdr:from>
        <xdr:to>
          <xdr:col>8</xdr:col>
          <xdr:colOff>409575</xdr:colOff>
          <xdr:row>5</xdr:row>
          <xdr:rowOff>104775</xdr:rowOff>
        </xdr:to>
        <xdr:sp macro="" textlink="">
          <xdr:nvSpPr>
            <xdr:cNvPr id="2053" name="chkShowPoints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4</xdr:col>
          <xdr:colOff>657225</xdr:colOff>
          <xdr:row>1</xdr:row>
          <xdr:rowOff>19050</xdr:rowOff>
        </xdr:to>
        <xdr:sp macro="" textlink="">
          <xdr:nvSpPr>
            <xdr:cNvPr id="2054" name="btnInitializ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0</xdr:row>
          <xdr:rowOff>28575</xdr:rowOff>
        </xdr:from>
        <xdr:to>
          <xdr:col>20</xdr:col>
          <xdr:colOff>276225</xdr:colOff>
          <xdr:row>1</xdr:row>
          <xdr:rowOff>95250</xdr:rowOff>
        </xdr:to>
        <xdr:sp macro="" textlink="">
          <xdr:nvSpPr>
            <xdr:cNvPr id="2065" name="btnResetX2s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76200</xdr:rowOff>
        </xdr:from>
        <xdr:to>
          <xdr:col>8</xdr:col>
          <xdr:colOff>647700</xdr:colOff>
          <xdr:row>6</xdr:row>
          <xdr:rowOff>123825</xdr:rowOff>
        </xdr:to>
        <xdr:sp macro="" textlink="">
          <xdr:nvSpPr>
            <xdr:cNvPr id="2066" name="chkShowMargin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9525</xdr:rowOff>
        </xdr:from>
        <xdr:to>
          <xdr:col>4</xdr:col>
          <xdr:colOff>657225</xdr:colOff>
          <xdr:row>4</xdr:row>
          <xdr:rowOff>9525</xdr:rowOff>
        </xdr:to>
        <xdr:sp macro="" textlink="">
          <xdr:nvSpPr>
            <xdr:cNvPr id="2070" name="scrBeta0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19050</xdr:rowOff>
        </xdr:from>
        <xdr:to>
          <xdr:col>6</xdr:col>
          <xdr:colOff>19050</xdr:colOff>
          <xdr:row>4</xdr:row>
          <xdr:rowOff>19050</xdr:rowOff>
        </xdr:to>
        <xdr:sp macro="" textlink="">
          <xdr:nvSpPr>
            <xdr:cNvPr id="2071" name="scrBeta1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ximalMarginAndSupportVectorClassifi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imalMarginClassifier"/>
      <sheetName val="SupportVectorClassifier"/>
      <sheetName val="Epsilon"/>
      <sheetName val="InnerProduct"/>
      <sheetName val="MMBetas"/>
    </sheetNames>
    <sheetDataSet>
      <sheetData sheetId="0">
        <row r="3">
          <cell r="E3">
            <v>-5</v>
          </cell>
          <cell r="F3">
            <v>8</v>
          </cell>
          <cell r="G3">
            <v>1</v>
          </cell>
        </row>
        <row r="4">
          <cell r="E4">
            <v>3</v>
          </cell>
          <cell r="F4">
            <v>7</v>
          </cell>
        </row>
        <row r="6">
          <cell r="E6">
            <v>5</v>
          </cell>
          <cell r="F6">
            <v>-8</v>
          </cell>
        </row>
        <row r="7">
          <cell r="N7" t="b">
            <v>1</v>
          </cell>
        </row>
        <row r="8">
          <cell r="N8" t="b">
            <v>0</v>
          </cell>
        </row>
        <row r="9">
          <cell r="N9" t="b">
            <v>0</v>
          </cell>
        </row>
      </sheetData>
      <sheetData sheetId="1">
        <row r="3">
          <cell r="AB3">
            <v>4.6896551853537316</v>
          </cell>
        </row>
        <row r="9">
          <cell r="AB9">
            <v>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MC"/>
  <dimension ref="A1:Z90"/>
  <sheetViews>
    <sheetView showGridLines="0" tabSelected="1" topLeftCell="D1" zoomScale="106" zoomScaleNormal="106" workbookViewId="0">
      <selection activeCell="E3" sqref="E3"/>
    </sheetView>
  </sheetViews>
  <sheetFormatPr defaultRowHeight="15" x14ac:dyDescent="0.25"/>
  <cols>
    <col min="1" max="1" width="2.5703125" hidden="1" customWidth="1"/>
    <col min="2" max="3" width="0" hidden="1" customWidth="1"/>
    <col min="5" max="7" width="10" customWidth="1"/>
    <col min="9" max="9" width="12.140625" customWidth="1"/>
    <col min="18" max="19" width="9.140625" style="1"/>
    <col min="20" max="20" width="0" style="1" hidden="1" customWidth="1"/>
    <col min="21" max="24" width="9.140625" style="1"/>
    <col min="25" max="25" width="3.140625" customWidth="1"/>
    <col min="26" max="26" width="12" bestFit="1" customWidth="1"/>
  </cols>
  <sheetData>
    <row r="1" spans="2:26" x14ac:dyDescent="0.25">
      <c r="B1" s="20" t="s">
        <v>16</v>
      </c>
      <c r="C1" s="20"/>
    </row>
    <row r="2" spans="2:26" ht="18" x14ac:dyDescent="0.35">
      <c r="B2" s="3" t="s">
        <v>5</v>
      </c>
      <c r="C2" s="3" t="s">
        <v>6</v>
      </c>
      <c r="E2" s="4" t="s">
        <v>2</v>
      </c>
      <c r="F2" s="4" t="s">
        <v>3</v>
      </c>
      <c r="G2" s="4" t="s">
        <v>4</v>
      </c>
      <c r="I2" s="4" t="s">
        <v>12</v>
      </c>
      <c r="R2" s="6" t="s">
        <v>7</v>
      </c>
      <c r="S2" s="3" t="s">
        <v>5</v>
      </c>
      <c r="T2" s="3" t="s">
        <v>11</v>
      </c>
      <c r="U2" s="3" t="s">
        <v>6</v>
      </c>
      <c r="V2" s="18" t="s">
        <v>35</v>
      </c>
      <c r="W2" s="18" t="s">
        <v>36</v>
      </c>
      <c r="X2" s="3" t="s">
        <v>10</v>
      </c>
      <c r="Z2" s="7" t="s">
        <v>8</v>
      </c>
    </row>
    <row r="3" spans="2:26" x14ac:dyDescent="0.25">
      <c r="B3" s="1">
        <v>-10</v>
      </c>
      <c r="C3" s="1">
        <f>-beta0/beta2-beta1/beta2*B3</f>
        <v>85</v>
      </c>
      <c r="E3" s="2">
        <v>-5</v>
      </c>
      <c r="F3" s="2">
        <v>8</v>
      </c>
      <c r="G3" s="2">
        <v>1</v>
      </c>
      <c r="I3" s="8">
        <f>beta1^2+beta2^2</f>
        <v>65</v>
      </c>
      <c r="R3" s="9">
        <v>1</v>
      </c>
      <c r="S3" s="9">
        <v>-10</v>
      </c>
      <c r="T3" s="9">
        <f t="shared" ref="T3:T44" si="0">-beta0/beta2-beta1/beta2*S3</f>
        <v>85</v>
      </c>
      <c r="U3" s="9">
        <v>35.333333333333336</v>
      </c>
      <c r="V3" s="9">
        <f t="shared" ref="V3:V44" si="1">beta0+beta1*S3+beta2*U3</f>
        <v>-49.666666666666664</v>
      </c>
      <c r="W3" s="9">
        <f t="shared" ref="W3:W44" si="2">R3*(beta0+beta1*S3+beta2*U3)</f>
        <v>-49.666666666666664</v>
      </c>
      <c r="X3" s="9">
        <f t="shared" ref="X3:X44" si="3">ABS(slope*S3-U3+intercept)/SQRT(slope^2+1)</f>
        <v>6.1603918179306865</v>
      </c>
      <c r="Z3" s="1">
        <f>MIN(W3:W44)</f>
        <v>-61</v>
      </c>
    </row>
    <row r="4" spans="2:26" x14ac:dyDescent="0.25">
      <c r="B4" s="1">
        <v>-9</v>
      </c>
      <c r="C4" s="1">
        <f t="shared" ref="C4:C23" si="4">-beta0/beta2-beta1/beta2*B4</f>
        <v>77</v>
      </c>
      <c r="E4">
        <v>9</v>
      </c>
      <c r="F4">
        <v>11</v>
      </c>
      <c r="R4" s="9">
        <v>1</v>
      </c>
      <c r="S4" s="9">
        <v>-9</v>
      </c>
      <c r="T4" s="9">
        <f t="shared" si="0"/>
        <v>77</v>
      </c>
      <c r="U4" s="9">
        <v>31.666666666666668</v>
      </c>
      <c r="V4" s="9">
        <f t="shared" si="1"/>
        <v>-45.333333333333329</v>
      </c>
      <c r="W4" s="9">
        <f t="shared" si="2"/>
        <v>-45.333333333333329</v>
      </c>
      <c r="X4" s="9">
        <f t="shared" si="3"/>
        <v>5.6229079680441165</v>
      </c>
    </row>
    <row r="5" spans="2:26" x14ac:dyDescent="0.25">
      <c r="B5" s="1">
        <v>-8</v>
      </c>
      <c r="C5" s="1">
        <f t="shared" si="4"/>
        <v>69</v>
      </c>
      <c r="E5" s="5" t="s">
        <v>1</v>
      </c>
      <c r="F5" s="5" t="s">
        <v>0</v>
      </c>
      <c r="R5" s="9">
        <v>1</v>
      </c>
      <c r="S5" s="9">
        <v>-8</v>
      </c>
      <c r="T5" s="9">
        <f t="shared" si="0"/>
        <v>69</v>
      </c>
      <c r="U5" s="9">
        <v>26</v>
      </c>
      <c r="V5" s="9">
        <f t="shared" si="1"/>
        <v>-43</v>
      </c>
      <c r="W5" s="9">
        <f t="shared" si="2"/>
        <v>-43</v>
      </c>
      <c r="X5" s="9">
        <f t="shared" si="3"/>
        <v>5.3334935873359637</v>
      </c>
      <c r="Z5" t="s">
        <v>37</v>
      </c>
    </row>
    <row r="6" spans="2:26" x14ac:dyDescent="0.25">
      <c r="B6" s="1">
        <v>-7</v>
      </c>
      <c r="C6" s="1">
        <f t="shared" si="4"/>
        <v>61</v>
      </c>
      <c r="E6" s="2">
        <f>-beta0/beta2</f>
        <v>5</v>
      </c>
      <c r="F6" s="2">
        <f>-beta1/beta2</f>
        <v>-8</v>
      </c>
      <c r="R6" s="9">
        <v>1</v>
      </c>
      <c r="S6" s="9">
        <v>-7</v>
      </c>
      <c r="T6" s="9">
        <f t="shared" si="0"/>
        <v>61</v>
      </c>
      <c r="U6" s="9">
        <v>31.333333333333332</v>
      </c>
      <c r="V6" s="9">
        <f t="shared" si="1"/>
        <v>-29.666666666666668</v>
      </c>
      <c r="W6" s="9">
        <f t="shared" si="2"/>
        <v>-29.666666666666668</v>
      </c>
      <c r="X6" s="9">
        <f t="shared" si="3"/>
        <v>3.6796971261465181</v>
      </c>
      <c r="Z6" t="s">
        <v>38</v>
      </c>
    </row>
    <row r="7" spans="2:26" x14ac:dyDescent="0.25">
      <c r="B7" s="1">
        <v>-6</v>
      </c>
      <c r="C7" s="1">
        <f t="shared" si="4"/>
        <v>53</v>
      </c>
      <c r="N7" t="b">
        <v>1</v>
      </c>
      <c r="R7" s="9">
        <v>1</v>
      </c>
      <c r="S7" s="9">
        <v>-6</v>
      </c>
      <c r="T7" s="9">
        <f t="shared" si="0"/>
        <v>53</v>
      </c>
      <c r="U7" s="9">
        <v>31.666666666666668</v>
      </c>
      <c r="V7" s="9">
        <f t="shared" si="1"/>
        <v>-21.333333333333332</v>
      </c>
      <c r="W7" s="9">
        <f t="shared" si="2"/>
        <v>-21.333333333333332</v>
      </c>
      <c r="X7" s="9">
        <f t="shared" si="3"/>
        <v>2.646074337903114</v>
      </c>
      <c r="Z7" s="23" t="s">
        <v>39</v>
      </c>
    </row>
    <row r="8" spans="2:26" x14ac:dyDescent="0.25">
      <c r="B8" s="1">
        <v>-5</v>
      </c>
      <c r="C8" s="1">
        <f t="shared" si="4"/>
        <v>45</v>
      </c>
      <c r="N8" t="b">
        <v>0</v>
      </c>
      <c r="R8" s="9">
        <v>1</v>
      </c>
      <c r="S8" s="9">
        <v>-5</v>
      </c>
      <c r="T8" s="9">
        <f t="shared" si="0"/>
        <v>45</v>
      </c>
      <c r="U8" s="9">
        <v>17</v>
      </c>
      <c r="V8" s="9">
        <f t="shared" si="1"/>
        <v>-28</v>
      </c>
      <c r="W8" s="9">
        <f t="shared" si="2"/>
        <v>-28</v>
      </c>
      <c r="X8" s="9">
        <f t="shared" si="3"/>
        <v>3.4729725684978372</v>
      </c>
    </row>
    <row r="9" spans="2:26" x14ac:dyDescent="0.25">
      <c r="B9" s="1">
        <v>-4</v>
      </c>
      <c r="C9" s="1">
        <f t="shared" si="4"/>
        <v>37</v>
      </c>
      <c r="N9" t="b">
        <v>0</v>
      </c>
      <c r="R9" s="9">
        <v>1</v>
      </c>
      <c r="S9" s="9">
        <v>-4</v>
      </c>
      <c r="T9" s="9">
        <f t="shared" si="0"/>
        <v>37</v>
      </c>
      <c r="U9" s="9">
        <v>31.333333333333332</v>
      </c>
      <c r="V9" s="9">
        <f t="shared" si="1"/>
        <v>-5.6666666666666679</v>
      </c>
      <c r="W9" s="9">
        <f t="shared" si="2"/>
        <v>-5.6666666666666679</v>
      </c>
      <c r="X9" s="9">
        <f t="shared" si="3"/>
        <v>0.70286349600551479</v>
      </c>
    </row>
    <row r="10" spans="2:26" x14ac:dyDescent="0.25">
      <c r="B10" s="1">
        <v>-3</v>
      </c>
      <c r="C10" s="1">
        <f t="shared" si="4"/>
        <v>29</v>
      </c>
      <c r="R10" s="9">
        <v>1</v>
      </c>
      <c r="S10" s="9">
        <v>-3</v>
      </c>
      <c r="T10" s="9">
        <f t="shared" si="0"/>
        <v>29</v>
      </c>
      <c r="U10" s="9">
        <v>10.666666666666666</v>
      </c>
      <c r="V10" s="9">
        <f t="shared" si="1"/>
        <v>-18.333333333333336</v>
      </c>
      <c r="W10" s="9">
        <f t="shared" si="2"/>
        <v>-18.333333333333336</v>
      </c>
      <c r="X10" s="9">
        <f t="shared" si="3"/>
        <v>2.2739701341354888</v>
      </c>
    </row>
    <row r="11" spans="2:26" x14ac:dyDescent="0.25">
      <c r="B11" s="1">
        <v>-2</v>
      </c>
      <c r="C11" s="1">
        <f t="shared" si="4"/>
        <v>21</v>
      </c>
      <c r="R11" s="9">
        <v>1</v>
      </c>
      <c r="S11" s="9">
        <v>-2</v>
      </c>
      <c r="T11" s="9">
        <f t="shared" si="0"/>
        <v>21</v>
      </c>
      <c r="U11" s="9">
        <v>27</v>
      </c>
      <c r="V11" s="9">
        <f t="shared" si="1"/>
        <v>6</v>
      </c>
      <c r="W11" s="9">
        <f t="shared" si="2"/>
        <v>6</v>
      </c>
      <c r="X11" s="9">
        <f t="shared" si="3"/>
        <v>0.74420840753525075</v>
      </c>
    </row>
    <row r="12" spans="2:26" x14ac:dyDescent="0.25">
      <c r="B12" s="1">
        <v>-1</v>
      </c>
      <c r="C12" s="1">
        <f t="shared" si="4"/>
        <v>13</v>
      </c>
      <c r="R12" s="9">
        <v>1</v>
      </c>
      <c r="S12" s="9">
        <v>-1</v>
      </c>
      <c r="T12" s="9">
        <f t="shared" si="0"/>
        <v>13</v>
      </c>
      <c r="U12" s="9">
        <v>28.333333333333332</v>
      </c>
      <c r="V12" s="9">
        <f t="shared" si="1"/>
        <v>15.333333333333332</v>
      </c>
      <c r="W12" s="9">
        <f t="shared" si="2"/>
        <v>15.333333333333332</v>
      </c>
      <c r="X12" s="9">
        <f t="shared" si="3"/>
        <v>1.9018659303678629</v>
      </c>
    </row>
    <row r="13" spans="2:26" x14ac:dyDescent="0.25">
      <c r="B13" s="1">
        <v>0</v>
      </c>
      <c r="C13" s="1">
        <f t="shared" si="4"/>
        <v>5</v>
      </c>
      <c r="R13" s="9">
        <v>1</v>
      </c>
      <c r="S13" s="9">
        <v>0</v>
      </c>
      <c r="T13" s="9">
        <f t="shared" si="0"/>
        <v>5</v>
      </c>
      <c r="U13" s="9">
        <v>28.666666666666668</v>
      </c>
      <c r="V13" s="9">
        <f t="shared" si="1"/>
        <v>23.666666666666668</v>
      </c>
      <c r="W13" s="9">
        <f t="shared" si="2"/>
        <v>23.666666666666668</v>
      </c>
      <c r="X13" s="9">
        <f t="shared" si="3"/>
        <v>2.9354887186112673</v>
      </c>
    </row>
    <row r="14" spans="2:26" x14ac:dyDescent="0.25">
      <c r="B14" s="1">
        <v>1</v>
      </c>
      <c r="C14" s="1">
        <f t="shared" si="4"/>
        <v>-3</v>
      </c>
      <c r="R14" s="9">
        <v>1</v>
      </c>
      <c r="S14" s="9">
        <v>1</v>
      </c>
      <c r="T14" s="9">
        <f t="shared" si="0"/>
        <v>-3</v>
      </c>
      <c r="U14" s="9">
        <v>19</v>
      </c>
      <c r="V14" s="9">
        <f t="shared" si="1"/>
        <v>22</v>
      </c>
      <c r="W14" s="9">
        <f t="shared" si="2"/>
        <v>22</v>
      </c>
      <c r="X14" s="9">
        <f t="shared" si="3"/>
        <v>2.7287641609625863</v>
      </c>
    </row>
    <row r="15" spans="2:26" x14ac:dyDescent="0.25">
      <c r="B15" s="1">
        <v>2</v>
      </c>
      <c r="C15" s="1">
        <f t="shared" si="4"/>
        <v>-11</v>
      </c>
      <c r="R15" s="9">
        <v>1</v>
      </c>
      <c r="S15" s="9">
        <v>2</v>
      </c>
      <c r="T15" s="9">
        <f t="shared" si="0"/>
        <v>-11</v>
      </c>
      <c r="U15" s="9">
        <v>23.333333333333332</v>
      </c>
      <c r="V15" s="9">
        <f t="shared" si="1"/>
        <v>34.333333333333329</v>
      </c>
      <c r="W15" s="9">
        <f t="shared" si="2"/>
        <v>34.333333333333329</v>
      </c>
      <c r="X15" s="9">
        <f t="shared" si="3"/>
        <v>4.2585258875628229</v>
      </c>
    </row>
    <row r="16" spans="2:26" x14ac:dyDescent="0.25">
      <c r="B16" s="1">
        <v>3</v>
      </c>
      <c r="C16" s="1">
        <f t="shared" si="4"/>
        <v>-19</v>
      </c>
      <c r="R16" s="9">
        <v>1</v>
      </c>
      <c r="S16" s="9">
        <v>3</v>
      </c>
      <c r="T16" s="9">
        <f t="shared" si="0"/>
        <v>-19</v>
      </c>
      <c r="U16" s="9">
        <v>10.666666666666666</v>
      </c>
      <c r="V16" s="9">
        <f t="shared" si="1"/>
        <v>29.666666666666664</v>
      </c>
      <c r="W16" s="9">
        <f t="shared" si="2"/>
        <v>29.666666666666664</v>
      </c>
      <c r="X16" s="9">
        <f t="shared" si="3"/>
        <v>3.6796971261465177</v>
      </c>
    </row>
    <row r="17" spans="2:24" x14ac:dyDescent="0.25">
      <c r="B17" s="1">
        <v>4</v>
      </c>
      <c r="C17" s="1">
        <f t="shared" si="4"/>
        <v>-27</v>
      </c>
      <c r="R17" s="9">
        <v>1</v>
      </c>
      <c r="S17" s="9">
        <v>4</v>
      </c>
      <c r="T17" s="9">
        <f t="shared" si="0"/>
        <v>-27</v>
      </c>
      <c r="U17" s="9">
        <v>3</v>
      </c>
      <c r="V17" s="9">
        <f t="shared" si="1"/>
        <v>30</v>
      </c>
      <c r="W17" s="9">
        <f t="shared" si="2"/>
        <v>30</v>
      </c>
      <c r="X17" s="9">
        <f t="shared" si="3"/>
        <v>3.7210420376762539</v>
      </c>
    </row>
    <row r="18" spans="2:24" x14ac:dyDescent="0.25">
      <c r="B18" s="1">
        <v>5</v>
      </c>
      <c r="C18" s="1">
        <f t="shared" si="4"/>
        <v>-35</v>
      </c>
      <c r="R18" s="9">
        <v>1</v>
      </c>
      <c r="S18" s="9">
        <v>5</v>
      </c>
      <c r="T18" s="9">
        <f t="shared" si="0"/>
        <v>-35</v>
      </c>
      <c r="U18" s="9">
        <v>20.333333333333332</v>
      </c>
      <c r="V18" s="9">
        <f t="shared" si="1"/>
        <v>55.333333333333329</v>
      </c>
      <c r="W18" s="9">
        <f t="shared" si="2"/>
        <v>55.333333333333329</v>
      </c>
      <c r="X18" s="9">
        <f t="shared" si="3"/>
        <v>6.8632553139362011</v>
      </c>
    </row>
    <row r="19" spans="2:24" x14ac:dyDescent="0.25">
      <c r="B19" s="1">
        <v>6</v>
      </c>
      <c r="C19" s="1">
        <f t="shared" si="4"/>
        <v>-43</v>
      </c>
      <c r="R19" s="9">
        <v>1</v>
      </c>
      <c r="S19" s="9">
        <v>6</v>
      </c>
      <c r="T19" s="9">
        <f t="shared" si="0"/>
        <v>-43</v>
      </c>
      <c r="U19" s="9">
        <v>0.66666666666666696</v>
      </c>
      <c r="V19" s="9">
        <f t="shared" si="1"/>
        <v>43.666666666666664</v>
      </c>
      <c r="W19" s="9">
        <f t="shared" si="2"/>
        <v>43.666666666666664</v>
      </c>
      <c r="X19" s="9">
        <f t="shared" si="3"/>
        <v>5.416183410395436</v>
      </c>
    </row>
    <row r="20" spans="2:24" x14ac:dyDescent="0.25">
      <c r="B20" s="1">
        <v>7</v>
      </c>
      <c r="C20" s="1">
        <f t="shared" si="4"/>
        <v>-51</v>
      </c>
      <c r="R20" s="9">
        <v>1</v>
      </c>
      <c r="S20" s="9">
        <v>7</v>
      </c>
      <c r="T20" s="9">
        <f t="shared" si="0"/>
        <v>-51</v>
      </c>
      <c r="U20" s="9">
        <v>24</v>
      </c>
      <c r="V20" s="9">
        <f t="shared" si="1"/>
        <v>75</v>
      </c>
      <c r="W20" s="9">
        <f t="shared" si="2"/>
        <v>75</v>
      </c>
      <c r="X20" s="9">
        <f t="shared" si="3"/>
        <v>9.3026050941906355</v>
      </c>
    </row>
    <row r="21" spans="2:24" x14ac:dyDescent="0.25">
      <c r="B21" s="1">
        <v>8</v>
      </c>
      <c r="C21" s="1">
        <f t="shared" si="4"/>
        <v>-59</v>
      </c>
      <c r="R21" s="9">
        <v>1</v>
      </c>
      <c r="S21" s="9">
        <v>8</v>
      </c>
      <c r="T21" s="9">
        <f t="shared" si="0"/>
        <v>-59</v>
      </c>
      <c r="U21" s="9">
        <v>19.333333333333336</v>
      </c>
      <c r="V21" s="9">
        <f t="shared" si="1"/>
        <v>78.333333333333343</v>
      </c>
      <c r="W21" s="9">
        <f t="shared" si="2"/>
        <v>78.333333333333343</v>
      </c>
      <c r="X21" s="9">
        <f t="shared" si="3"/>
        <v>9.7160542094879982</v>
      </c>
    </row>
    <row r="22" spans="2:24" x14ac:dyDescent="0.25">
      <c r="B22" s="1">
        <v>9</v>
      </c>
      <c r="C22" s="1">
        <f t="shared" si="4"/>
        <v>-67</v>
      </c>
      <c r="R22" s="9">
        <v>1</v>
      </c>
      <c r="S22" s="9">
        <v>9</v>
      </c>
      <c r="T22" s="9">
        <f t="shared" si="0"/>
        <v>-67</v>
      </c>
      <c r="U22" s="9">
        <v>17.666666666666668</v>
      </c>
      <c r="V22" s="9">
        <f t="shared" si="1"/>
        <v>84.666666666666671</v>
      </c>
      <c r="W22" s="9">
        <f t="shared" si="2"/>
        <v>84.666666666666671</v>
      </c>
      <c r="X22" s="9">
        <f t="shared" si="3"/>
        <v>10.501607528552984</v>
      </c>
    </row>
    <row r="23" spans="2:24" x14ac:dyDescent="0.25">
      <c r="B23" s="1">
        <v>10</v>
      </c>
      <c r="C23" s="1">
        <f t="shared" si="4"/>
        <v>-75</v>
      </c>
      <c r="R23" s="9">
        <v>1</v>
      </c>
      <c r="S23" s="9">
        <v>10</v>
      </c>
      <c r="T23" s="9">
        <f t="shared" si="0"/>
        <v>-75</v>
      </c>
      <c r="U23" s="9">
        <v>3.0000000000000009</v>
      </c>
      <c r="V23" s="9">
        <f t="shared" si="1"/>
        <v>78</v>
      </c>
      <c r="W23" s="9">
        <f t="shared" si="2"/>
        <v>78</v>
      </c>
      <c r="X23" s="9">
        <f t="shared" si="3"/>
        <v>9.6747092979582607</v>
      </c>
    </row>
    <row r="24" spans="2:24" x14ac:dyDescent="0.25">
      <c r="R24" s="10">
        <v>-1</v>
      </c>
      <c r="S24" s="10">
        <v>-10</v>
      </c>
      <c r="T24" s="10">
        <f t="shared" si="0"/>
        <v>85</v>
      </c>
      <c r="U24" s="10">
        <v>-15.666666666666668</v>
      </c>
      <c r="V24" s="10">
        <f t="shared" si="1"/>
        <v>-100.66666666666667</v>
      </c>
      <c r="W24" s="10">
        <f t="shared" si="2"/>
        <v>100.66666666666667</v>
      </c>
      <c r="X24" s="10">
        <f t="shared" si="3"/>
        <v>12.486163281980319</v>
      </c>
    </row>
    <row r="25" spans="2:24" ht="16.5" x14ac:dyDescent="0.3">
      <c r="D25" s="19" t="s">
        <v>32</v>
      </c>
      <c r="E25" s="4" t="s">
        <v>2</v>
      </c>
      <c r="F25" s="4" t="s">
        <v>3</v>
      </c>
      <c r="G25" s="4" t="s">
        <v>4</v>
      </c>
      <c r="H25" s="5" t="s">
        <v>31</v>
      </c>
      <c r="I25" s="5" t="s">
        <v>1</v>
      </c>
      <c r="J25" s="5" t="s">
        <v>0</v>
      </c>
      <c r="R25" s="10">
        <v>-1</v>
      </c>
      <c r="S25" s="10">
        <v>-9</v>
      </c>
      <c r="T25" s="10">
        <f t="shared" si="0"/>
        <v>77</v>
      </c>
      <c r="U25" s="10">
        <v>-24.333333333333332</v>
      </c>
      <c r="V25" s="10">
        <f t="shared" si="1"/>
        <v>-101.33333333333333</v>
      </c>
      <c r="W25" s="10">
        <f t="shared" si="2"/>
        <v>101.33333333333333</v>
      </c>
      <c r="X25" s="10">
        <f t="shared" si="3"/>
        <v>12.568853105039791</v>
      </c>
    </row>
    <row r="26" spans="2:24" x14ac:dyDescent="0.25">
      <c r="D26" s="19" t="s">
        <v>33</v>
      </c>
      <c r="E26" s="17">
        <f>E3*$H26</f>
        <v>-5</v>
      </c>
      <c r="F26" s="17">
        <f>F3*$H26</f>
        <v>8</v>
      </c>
      <c r="G26" s="17">
        <f>G3*$H26</f>
        <v>1</v>
      </c>
      <c r="H26" s="24">
        <v>1</v>
      </c>
      <c r="I26" s="2">
        <f>E26/-G26</f>
        <v>5</v>
      </c>
      <c r="J26" s="2">
        <f>F26/-G26</f>
        <v>-8</v>
      </c>
      <c r="K26" t="s">
        <v>34</v>
      </c>
      <c r="R26" s="10">
        <v>-1</v>
      </c>
      <c r="S26" s="10">
        <v>-8</v>
      </c>
      <c r="T26" s="10">
        <f t="shared" si="0"/>
        <v>69</v>
      </c>
      <c r="U26" s="10">
        <v>-2</v>
      </c>
      <c r="V26" s="10">
        <f t="shared" si="1"/>
        <v>-71</v>
      </c>
      <c r="W26" s="10">
        <f t="shared" si="2"/>
        <v>71</v>
      </c>
      <c r="X26" s="10">
        <f t="shared" si="3"/>
        <v>8.8064661558338013</v>
      </c>
    </row>
    <row r="27" spans="2:24" x14ac:dyDescent="0.25">
      <c r="R27" s="10">
        <v>-1</v>
      </c>
      <c r="S27" s="10">
        <v>-7</v>
      </c>
      <c r="T27" s="10">
        <f t="shared" si="0"/>
        <v>61</v>
      </c>
      <c r="U27" s="10">
        <v>-25.666666666666668</v>
      </c>
      <c r="V27" s="10">
        <f t="shared" si="1"/>
        <v>-86.666666666666671</v>
      </c>
      <c r="W27" s="10">
        <f t="shared" si="2"/>
        <v>86.666666666666671</v>
      </c>
      <c r="X27" s="10">
        <f t="shared" si="3"/>
        <v>10.749676997731401</v>
      </c>
    </row>
    <row r="28" spans="2:24" x14ac:dyDescent="0.25">
      <c r="C28" t="s">
        <v>9</v>
      </c>
      <c r="R28" s="10">
        <v>-1</v>
      </c>
      <c r="S28" s="10">
        <v>-6</v>
      </c>
      <c r="T28" s="10">
        <f t="shared" si="0"/>
        <v>53</v>
      </c>
      <c r="U28" s="10">
        <v>-9.3333333333333339</v>
      </c>
      <c r="V28" s="10">
        <f t="shared" si="1"/>
        <v>-62.333333333333336</v>
      </c>
      <c r="W28" s="10">
        <f t="shared" si="2"/>
        <v>62.333333333333336</v>
      </c>
      <c r="X28" s="10">
        <f t="shared" si="3"/>
        <v>7.7314984560606614</v>
      </c>
    </row>
    <row r="29" spans="2:24" x14ac:dyDescent="0.25">
      <c r="R29" s="10">
        <v>-1</v>
      </c>
      <c r="S29" s="10">
        <v>-5</v>
      </c>
      <c r="T29" s="10">
        <f t="shared" si="0"/>
        <v>45</v>
      </c>
      <c r="U29" s="10">
        <v>-4</v>
      </c>
      <c r="V29" s="10">
        <f t="shared" si="1"/>
        <v>-49</v>
      </c>
      <c r="W29" s="10">
        <f t="shared" si="2"/>
        <v>49</v>
      </c>
      <c r="X29" s="10">
        <f t="shared" si="3"/>
        <v>6.077701994871215</v>
      </c>
    </row>
    <row r="30" spans="2:24" x14ac:dyDescent="0.25">
      <c r="R30" s="10">
        <v>-1</v>
      </c>
      <c r="S30" s="10">
        <v>-4</v>
      </c>
      <c r="T30" s="10">
        <f t="shared" si="0"/>
        <v>37</v>
      </c>
      <c r="U30" s="10">
        <v>-16.666666666666668</v>
      </c>
      <c r="V30" s="10">
        <f t="shared" si="1"/>
        <v>-53.666666666666671</v>
      </c>
      <c r="W30" s="10">
        <f t="shared" si="2"/>
        <v>53.666666666666671</v>
      </c>
      <c r="X30" s="10">
        <f t="shared" si="3"/>
        <v>6.6565307562875216</v>
      </c>
    </row>
    <row r="31" spans="2:24" x14ac:dyDescent="0.25">
      <c r="R31" s="10">
        <v>-1</v>
      </c>
      <c r="S31" s="10">
        <v>-3</v>
      </c>
      <c r="T31" s="10">
        <f t="shared" si="0"/>
        <v>29</v>
      </c>
      <c r="U31" s="10">
        <v>-4.333333333333333</v>
      </c>
      <c r="V31" s="10">
        <f t="shared" si="1"/>
        <v>-33.333333333333336</v>
      </c>
      <c r="W31" s="10">
        <f t="shared" si="2"/>
        <v>33.333333333333336</v>
      </c>
      <c r="X31" s="10">
        <f t="shared" si="3"/>
        <v>4.1344911529736148</v>
      </c>
    </row>
    <row r="32" spans="2:24" x14ac:dyDescent="0.25">
      <c r="R32" s="10">
        <v>-1</v>
      </c>
      <c r="S32" s="10">
        <v>-2</v>
      </c>
      <c r="T32" s="10">
        <f t="shared" si="0"/>
        <v>21</v>
      </c>
      <c r="U32" s="10">
        <v>-28</v>
      </c>
      <c r="V32" s="10">
        <f t="shared" si="1"/>
        <v>-49</v>
      </c>
      <c r="W32" s="10">
        <f t="shared" si="2"/>
        <v>49</v>
      </c>
      <c r="X32" s="10">
        <f t="shared" si="3"/>
        <v>6.077701994871215</v>
      </c>
    </row>
    <row r="33" spans="3:24" x14ac:dyDescent="0.25">
      <c r="R33" s="10">
        <v>-1</v>
      </c>
      <c r="S33" s="10">
        <v>-1</v>
      </c>
      <c r="T33" s="10">
        <f t="shared" si="0"/>
        <v>13</v>
      </c>
      <c r="U33" s="10">
        <v>-22.666666666666668</v>
      </c>
      <c r="V33" s="10">
        <f t="shared" si="1"/>
        <v>-35.666666666666671</v>
      </c>
      <c r="W33" s="10">
        <f t="shared" si="2"/>
        <v>35.666666666666671</v>
      </c>
      <c r="X33" s="10">
        <f t="shared" si="3"/>
        <v>4.4239055336817694</v>
      </c>
    </row>
    <row r="34" spans="3:24" x14ac:dyDescent="0.25">
      <c r="R34" s="10">
        <v>-1</v>
      </c>
      <c r="S34" s="10">
        <v>0</v>
      </c>
      <c r="T34" s="10">
        <f t="shared" si="0"/>
        <v>5</v>
      </c>
      <c r="U34" s="10">
        <v>-12.333333333333334</v>
      </c>
      <c r="V34" s="10">
        <f t="shared" si="1"/>
        <v>-17.333333333333336</v>
      </c>
      <c r="W34" s="10">
        <f t="shared" si="2"/>
        <v>17.333333333333336</v>
      </c>
      <c r="X34" s="10">
        <f t="shared" si="3"/>
        <v>2.1499353995462802</v>
      </c>
    </row>
    <row r="35" spans="3:24" x14ac:dyDescent="0.25">
      <c r="R35" s="10">
        <v>-1</v>
      </c>
      <c r="S35" s="10">
        <v>1</v>
      </c>
      <c r="T35" s="10">
        <f t="shared" si="0"/>
        <v>-3</v>
      </c>
      <c r="U35" s="10">
        <v>-15</v>
      </c>
      <c r="V35" s="10">
        <f t="shared" si="1"/>
        <v>-12</v>
      </c>
      <c r="W35" s="10">
        <f t="shared" si="2"/>
        <v>12</v>
      </c>
      <c r="X35" s="10">
        <f t="shared" si="3"/>
        <v>1.4884168150705015</v>
      </c>
    </row>
    <row r="36" spans="3:24" x14ac:dyDescent="0.25">
      <c r="R36" s="10">
        <v>-1</v>
      </c>
      <c r="S36" s="10">
        <v>2</v>
      </c>
      <c r="T36" s="10">
        <f t="shared" si="0"/>
        <v>-11</v>
      </c>
      <c r="U36" s="10">
        <v>-17.666666666666668</v>
      </c>
      <c r="V36" s="10">
        <f t="shared" si="1"/>
        <v>-6.6666666666666679</v>
      </c>
      <c r="W36" s="10">
        <f t="shared" si="2"/>
        <v>6.6666666666666679</v>
      </c>
      <c r="X36" s="10">
        <f t="shared" si="3"/>
        <v>0.82689823059472323</v>
      </c>
    </row>
    <row r="37" spans="3:24" x14ac:dyDescent="0.25">
      <c r="R37" s="10">
        <v>-1</v>
      </c>
      <c r="S37" s="10">
        <v>3</v>
      </c>
      <c r="T37" s="10">
        <f t="shared" si="0"/>
        <v>-19</v>
      </c>
      <c r="U37" s="10">
        <v>-13.333333333333334</v>
      </c>
      <c r="V37" s="10">
        <f t="shared" si="1"/>
        <v>5.6666666666666661</v>
      </c>
      <c r="W37" s="10">
        <f t="shared" si="2"/>
        <v>-5.6666666666666661</v>
      </c>
      <c r="X37" s="10">
        <f t="shared" si="3"/>
        <v>0.70286349600551457</v>
      </c>
    </row>
    <row r="38" spans="3:24" x14ac:dyDescent="0.25">
      <c r="R38" s="10">
        <v>-1</v>
      </c>
      <c r="S38" s="10">
        <v>4</v>
      </c>
      <c r="T38" s="10">
        <f t="shared" si="0"/>
        <v>-27</v>
      </c>
      <c r="U38" s="10">
        <v>-22</v>
      </c>
      <c r="V38" s="10">
        <f t="shared" si="1"/>
        <v>5</v>
      </c>
      <c r="W38" s="10">
        <f t="shared" si="2"/>
        <v>-5</v>
      </c>
      <c r="X38" s="10">
        <f t="shared" si="3"/>
        <v>0.62017367294604231</v>
      </c>
    </row>
    <row r="39" spans="3:24" x14ac:dyDescent="0.25">
      <c r="R39" s="10">
        <v>-1</v>
      </c>
      <c r="S39" s="10">
        <v>5</v>
      </c>
      <c r="T39" s="10">
        <f t="shared" si="0"/>
        <v>-35</v>
      </c>
      <c r="U39" s="10">
        <v>-23.666666666666668</v>
      </c>
      <c r="V39" s="10">
        <f t="shared" si="1"/>
        <v>11.333333333333332</v>
      </c>
      <c r="W39" s="10">
        <f t="shared" si="2"/>
        <v>-11.333333333333332</v>
      </c>
      <c r="X39" s="10">
        <f t="shared" si="3"/>
        <v>1.4057269920110291</v>
      </c>
    </row>
    <row r="40" spans="3:24" x14ac:dyDescent="0.25">
      <c r="R40" s="10">
        <v>-1</v>
      </c>
      <c r="S40" s="10">
        <v>6</v>
      </c>
      <c r="T40" s="10">
        <f t="shared" si="0"/>
        <v>-43</v>
      </c>
      <c r="U40" s="10">
        <v>-28.333333333333332</v>
      </c>
      <c r="V40" s="10">
        <f t="shared" si="1"/>
        <v>14.666666666666668</v>
      </c>
      <c r="W40" s="10">
        <f t="shared" si="2"/>
        <v>-14.666666666666668</v>
      </c>
      <c r="X40" s="10">
        <f t="shared" si="3"/>
        <v>1.819176107308391</v>
      </c>
    </row>
    <row r="41" spans="3:24" x14ac:dyDescent="0.25">
      <c r="R41" s="10">
        <v>-1</v>
      </c>
      <c r="S41" s="10">
        <v>7</v>
      </c>
      <c r="T41" s="10">
        <f t="shared" si="0"/>
        <v>-51</v>
      </c>
      <c r="U41" s="10">
        <v>-27</v>
      </c>
      <c r="V41" s="10">
        <f t="shared" si="1"/>
        <v>24</v>
      </c>
      <c r="W41" s="10">
        <f t="shared" si="2"/>
        <v>-24</v>
      </c>
      <c r="X41" s="10">
        <f t="shared" si="3"/>
        <v>2.976833630141003</v>
      </c>
    </row>
    <row r="42" spans="3:24" x14ac:dyDescent="0.25">
      <c r="R42" s="10">
        <v>-1</v>
      </c>
      <c r="S42" s="10">
        <v>8</v>
      </c>
      <c r="T42" s="10">
        <f t="shared" si="0"/>
        <v>-59</v>
      </c>
      <c r="U42" s="10">
        <v>-35.666666666666664</v>
      </c>
      <c r="V42" s="10">
        <f t="shared" si="1"/>
        <v>23.333333333333336</v>
      </c>
      <c r="W42" s="10">
        <f t="shared" si="2"/>
        <v>-23.333333333333336</v>
      </c>
      <c r="X42" s="10">
        <f t="shared" si="3"/>
        <v>2.8941438070815311</v>
      </c>
    </row>
    <row r="43" spans="3:24" x14ac:dyDescent="0.25">
      <c r="R43" s="10">
        <v>-1</v>
      </c>
      <c r="S43" s="10">
        <v>9</v>
      </c>
      <c r="T43" s="10">
        <f t="shared" si="0"/>
        <v>-67</v>
      </c>
      <c r="U43" s="10">
        <v>-36.333333333333336</v>
      </c>
      <c r="V43" s="10">
        <f t="shared" si="1"/>
        <v>30.666666666666664</v>
      </c>
      <c r="W43" s="10">
        <f t="shared" si="2"/>
        <v>-30.666666666666664</v>
      </c>
      <c r="X43" s="10">
        <f t="shared" si="3"/>
        <v>3.8037318607357258</v>
      </c>
    </row>
    <row r="44" spans="3:24" x14ac:dyDescent="0.25">
      <c r="R44" s="10">
        <v>-1</v>
      </c>
      <c r="S44" s="10">
        <v>10</v>
      </c>
      <c r="T44" s="10">
        <f t="shared" si="0"/>
        <v>-75</v>
      </c>
      <c r="U44" s="10">
        <v>-14</v>
      </c>
      <c r="V44" s="10">
        <f t="shared" si="1"/>
        <v>61</v>
      </c>
      <c r="W44" s="10">
        <f t="shared" si="2"/>
        <v>-61</v>
      </c>
      <c r="X44" s="10">
        <f t="shared" si="3"/>
        <v>7.5661188099417167</v>
      </c>
    </row>
    <row r="48" spans="3:24" x14ac:dyDescent="0.25">
      <c r="C48" s="14" t="s">
        <v>17</v>
      </c>
      <c r="E48" s="21" t="s">
        <v>17</v>
      </c>
      <c r="F48" s="21"/>
      <c r="G48" s="21"/>
      <c r="K48" s="22" t="s">
        <v>27</v>
      </c>
      <c r="L48" s="22"/>
      <c r="M48" s="22"/>
    </row>
    <row r="49" spans="3:16" ht="18" x14ac:dyDescent="0.35">
      <c r="C49" s="11">
        <v>35.333333333333336</v>
      </c>
      <c r="E49" s="2">
        <v>-5</v>
      </c>
      <c r="F49" s="2">
        <v>8</v>
      </c>
      <c r="G49" s="2">
        <v>1</v>
      </c>
      <c r="H49" t="s">
        <v>13</v>
      </c>
      <c r="K49" s="3" t="s">
        <v>5</v>
      </c>
      <c r="L49" s="3" t="s">
        <v>6</v>
      </c>
      <c r="M49" s="3" t="s">
        <v>6</v>
      </c>
    </row>
    <row r="50" spans="3:16" x14ac:dyDescent="0.25">
      <c r="C50" s="12">
        <v>31.666666666666668</v>
      </c>
      <c r="E50" s="2">
        <v>0</v>
      </c>
      <c r="F50" s="2">
        <f>SQRT(0.5)</f>
        <v>0.70710678118654757</v>
      </c>
      <c r="G50" s="2">
        <f>SQRT(0.5)</f>
        <v>0.70710678118654757</v>
      </c>
      <c r="H50" t="s">
        <v>14</v>
      </c>
      <c r="K50" s="1">
        <v>-10</v>
      </c>
      <c r="L50">
        <f>slope*$K50+O$52</f>
        <v>576.79772264621147</v>
      </c>
      <c r="M50">
        <f>slope*$K50+P$52</f>
        <v>-406.79772264621147</v>
      </c>
      <c r="O50" s="22" t="s">
        <v>30</v>
      </c>
      <c r="P50" s="22"/>
    </row>
    <row r="51" spans="3:16" x14ac:dyDescent="0.25">
      <c r="C51" s="12">
        <v>26</v>
      </c>
      <c r="H51" t="s">
        <v>15</v>
      </c>
      <c r="K51" s="1">
        <v>-9</v>
      </c>
      <c r="L51">
        <f t="shared" ref="L51:L70" si="5">slope*K51+O$52</f>
        <v>568.79772264621147</v>
      </c>
      <c r="M51">
        <f t="shared" ref="M51:M70" si="6">slope*$K51+P$52</f>
        <v>-414.79772264621147</v>
      </c>
      <c r="O51" s="16" t="s">
        <v>28</v>
      </c>
      <c r="P51" s="16" t="s">
        <v>29</v>
      </c>
    </row>
    <row r="52" spans="3:16" x14ac:dyDescent="0.25">
      <c r="C52" s="12">
        <v>31.333333333333332</v>
      </c>
      <c r="K52" s="1">
        <v>-8</v>
      </c>
      <c r="L52">
        <f t="shared" si="5"/>
        <v>560.79772264621147</v>
      </c>
      <c r="M52">
        <f t="shared" si="6"/>
        <v>-422.79772264621147</v>
      </c>
      <c r="O52" s="17">
        <f>intercept-Z3*SQRT(slope^2+1)</f>
        <v>496.79772264621147</v>
      </c>
      <c r="P52" s="17">
        <f>intercept+Z3*SQRT(slope^2+1)</f>
        <v>-486.79772264621147</v>
      </c>
    </row>
    <row r="53" spans="3:16" x14ac:dyDescent="0.25">
      <c r="C53" s="12">
        <v>31.666666666666668</v>
      </c>
      <c r="K53" s="1">
        <v>-7</v>
      </c>
      <c r="L53">
        <f t="shared" si="5"/>
        <v>552.79772264621147</v>
      </c>
      <c r="M53">
        <f t="shared" si="6"/>
        <v>-430.79772264621147</v>
      </c>
    </row>
    <row r="54" spans="3:16" x14ac:dyDescent="0.25">
      <c r="C54" s="12">
        <v>17</v>
      </c>
      <c r="K54" s="1">
        <v>-6</v>
      </c>
      <c r="L54">
        <f t="shared" si="5"/>
        <v>544.79772264621147</v>
      </c>
      <c r="M54">
        <f t="shared" si="6"/>
        <v>-438.79772264621147</v>
      </c>
    </row>
    <row r="55" spans="3:16" x14ac:dyDescent="0.25">
      <c r="C55" s="12">
        <v>31.333333333333332</v>
      </c>
      <c r="K55" s="1">
        <v>-5</v>
      </c>
      <c r="L55">
        <f t="shared" si="5"/>
        <v>536.79772264621147</v>
      </c>
      <c r="M55">
        <f t="shared" si="6"/>
        <v>-446.79772264621147</v>
      </c>
    </row>
    <row r="56" spans="3:16" x14ac:dyDescent="0.25">
      <c r="C56" s="12">
        <v>10.666666666666666</v>
      </c>
      <c r="K56" s="1">
        <v>-4</v>
      </c>
      <c r="L56">
        <f t="shared" si="5"/>
        <v>528.79772264621147</v>
      </c>
      <c r="M56">
        <f t="shared" si="6"/>
        <v>-454.79772264621147</v>
      </c>
    </row>
    <row r="57" spans="3:16" x14ac:dyDescent="0.25">
      <c r="C57" s="12">
        <v>27</v>
      </c>
      <c r="K57" s="1">
        <v>-3</v>
      </c>
      <c r="L57">
        <f t="shared" si="5"/>
        <v>520.79772264621147</v>
      </c>
      <c r="M57">
        <f t="shared" si="6"/>
        <v>-462.79772264621147</v>
      </c>
    </row>
    <row r="58" spans="3:16" x14ac:dyDescent="0.25">
      <c r="C58" s="12">
        <v>28.333333333333332</v>
      </c>
      <c r="K58" s="1">
        <v>-2</v>
      </c>
      <c r="L58">
        <f t="shared" si="5"/>
        <v>512.79772264621147</v>
      </c>
      <c r="M58">
        <f t="shared" si="6"/>
        <v>-470.79772264621147</v>
      </c>
    </row>
    <row r="59" spans="3:16" x14ac:dyDescent="0.25">
      <c r="C59" s="12">
        <v>28.666666666666668</v>
      </c>
      <c r="K59" s="1">
        <v>-1</v>
      </c>
      <c r="L59">
        <f t="shared" si="5"/>
        <v>504.79772264621147</v>
      </c>
      <c r="M59">
        <f t="shared" si="6"/>
        <v>-478.79772264621147</v>
      </c>
    </row>
    <row r="60" spans="3:16" x14ac:dyDescent="0.25">
      <c r="C60" s="12">
        <v>19</v>
      </c>
      <c r="K60" s="1">
        <v>0</v>
      </c>
      <c r="L60">
        <f t="shared" si="5"/>
        <v>496.79772264621147</v>
      </c>
      <c r="M60">
        <f t="shared" si="6"/>
        <v>-486.79772264621147</v>
      </c>
    </row>
    <row r="61" spans="3:16" x14ac:dyDescent="0.25">
      <c r="C61" s="12">
        <v>23.333333333333332</v>
      </c>
      <c r="K61" s="1">
        <v>1</v>
      </c>
      <c r="L61">
        <f t="shared" si="5"/>
        <v>488.79772264621147</v>
      </c>
      <c r="M61">
        <f t="shared" si="6"/>
        <v>-494.79772264621147</v>
      </c>
    </row>
    <row r="62" spans="3:16" x14ac:dyDescent="0.25">
      <c r="C62" s="12">
        <v>10.666666666666666</v>
      </c>
      <c r="K62" s="1">
        <v>2</v>
      </c>
      <c r="L62">
        <f t="shared" si="5"/>
        <v>480.79772264621147</v>
      </c>
      <c r="M62">
        <f t="shared" si="6"/>
        <v>-502.79772264621147</v>
      </c>
    </row>
    <row r="63" spans="3:16" x14ac:dyDescent="0.25">
      <c r="C63" s="12">
        <v>3</v>
      </c>
      <c r="K63" s="1">
        <v>3</v>
      </c>
      <c r="L63">
        <f t="shared" si="5"/>
        <v>472.79772264621147</v>
      </c>
      <c r="M63">
        <f t="shared" si="6"/>
        <v>-510.79772264621147</v>
      </c>
    </row>
    <row r="64" spans="3:16" x14ac:dyDescent="0.25">
      <c r="C64" s="12">
        <v>20.333333333333332</v>
      </c>
      <c r="K64" s="1">
        <v>4</v>
      </c>
      <c r="L64">
        <f t="shared" si="5"/>
        <v>464.79772264621147</v>
      </c>
      <c r="M64">
        <f t="shared" si="6"/>
        <v>-518.79772264621147</v>
      </c>
    </row>
    <row r="65" spans="3:13" x14ac:dyDescent="0.25">
      <c r="C65" s="12">
        <v>0.66666666666666696</v>
      </c>
      <c r="K65" s="1">
        <v>5</v>
      </c>
      <c r="L65">
        <f t="shared" si="5"/>
        <v>456.79772264621147</v>
      </c>
      <c r="M65">
        <f t="shared" si="6"/>
        <v>-526.79772264621147</v>
      </c>
    </row>
    <row r="66" spans="3:13" x14ac:dyDescent="0.25">
      <c r="C66" s="12">
        <v>24</v>
      </c>
      <c r="K66" s="1">
        <v>6</v>
      </c>
      <c r="L66">
        <f t="shared" si="5"/>
        <v>448.79772264621147</v>
      </c>
      <c r="M66">
        <f t="shared" si="6"/>
        <v>-534.79772264621147</v>
      </c>
    </row>
    <row r="67" spans="3:13" x14ac:dyDescent="0.25">
      <c r="C67" s="12">
        <v>19.333333333333336</v>
      </c>
      <c r="K67" s="1">
        <v>7</v>
      </c>
      <c r="L67">
        <f t="shared" si="5"/>
        <v>440.79772264621147</v>
      </c>
      <c r="M67">
        <f t="shared" si="6"/>
        <v>-542.79772264621147</v>
      </c>
    </row>
    <row r="68" spans="3:13" x14ac:dyDescent="0.25">
      <c r="C68" s="12">
        <v>17.666666666666668</v>
      </c>
      <c r="K68" s="1">
        <v>8</v>
      </c>
      <c r="L68">
        <f t="shared" si="5"/>
        <v>432.79772264621147</v>
      </c>
      <c r="M68">
        <f t="shared" si="6"/>
        <v>-550.79772264621147</v>
      </c>
    </row>
    <row r="69" spans="3:13" x14ac:dyDescent="0.25">
      <c r="C69" s="12">
        <v>3.0000000000000009</v>
      </c>
      <c r="K69" s="1">
        <v>9</v>
      </c>
      <c r="L69">
        <f t="shared" si="5"/>
        <v>424.79772264621147</v>
      </c>
      <c r="M69">
        <f t="shared" si="6"/>
        <v>-558.79772264621147</v>
      </c>
    </row>
    <row r="70" spans="3:13" x14ac:dyDescent="0.25">
      <c r="C70" s="12">
        <v>-15.666666666666668</v>
      </c>
      <c r="K70" s="1">
        <v>10</v>
      </c>
      <c r="L70">
        <f t="shared" si="5"/>
        <v>416.79772264621147</v>
      </c>
      <c r="M70">
        <f t="shared" si="6"/>
        <v>-566.79772264621147</v>
      </c>
    </row>
    <row r="71" spans="3:13" x14ac:dyDescent="0.25">
      <c r="C71" s="12">
        <v>-24.333333333333332</v>
      </c>
    </row>
    <row r="72" spans="3:13" x14ac:dyDescent="0.25">
      <c r="C72" s="12">
        <v>-2</v>
      </c>
    </row>
    <row r="73" spans="3:13" x14ac:dyDescent="0.25">
      <c r="C73" s="12">
        <v>-25.666666666666668</v>
      </c>
    </row>
    <row r="74" spans="3:13" x14ac:dyDescent="0.25">
      <c r="C74" s="12">
        <v>-9.3333333333333339</v>
      </c>
    </row>
    <row r="75" spans="3:13" x14ac:dyDescent="0.25">
      <c r="C75" s="12">
        <v>-4</v>
      </c>
    </row>
    <row r="76" spans="3:13" x14ac:dyDescent="0.25">
      <c r="C76" s="12">
        <v>-16.666666666666668</v>
      </c>
    </row>
    <row r="77" spans="3:13" x14ac:dyDescent="0.25">
      <c r="C77" s="12">
        <v>-4.333333333333333</v>
      </c>
    </row>
    <row r="78" spans="3:13" x14ac:dyDescent="0.25">
      <c r="C78" s="12">
        <v>-28</v>
      </c>
    </row>
    <row r="79" spans="3:13" x14ac:dyDescent="0.25">
      <c r="C79" s="12">
        <v>-22.666666666666668</v>
      </c>
    </row>
    <row r="80" spans="3:13" x14ac:dyDescent="0.25">
      <c r="C80" s="12">
        <v>-12.333333333333334</v>
      </c>
    </row>
    <row r="81" spans="3:3" x14ac:dyDescent="0.25">
      <c r="C81" s="12">
        <v>-15</v>
      </c>
    </row>
    <row r="82" spans="3:3" x14ac:dyDescent="0.25">
      <c r="C82" s="12">
        <v>-17.666666666666668</v>
      </c>
    </row>
    <row r="83" spans="3:3" x14ac:dyDescent="0.25">
      <c r="C83" s="12">
        <v>-13.333333333333334</v>
      </c>
    </row>
    <row r="84" spans="3:3" x14ac:dyDescent="0.25">
      <c r="C84" s="12">
        <v>-22</v>
      </c>
    </row>
    <row r="85" spans="3:3" x14ac:dyDescent="0.25">
      <c r="C85" s="12">
        <v>-23.666666666666668</v>
      </c>
    </row>
    <row r="86" spans="3:3" x14ac:dyDescent="0.25">
      <c r="C86" s="12">
        <v>-28.333333333333332</v>
      </c>
    </row>
    <row r="87" spans="3:3" x14ac:dyDescent="0.25">
      <c r="C87" s="12">
        <v>-27</v>
      </c>
    </row>
    <row r="88" spans="3:3" x14ac:dyDescent="0.25">
      <c r="C88" s="12">
        <v>-35.666666666666664</v>
      </c>
    </row>
    <row r="89" spans="3:3" x14ac:dyDescent="0.25">
      <c r="C89" s="12">
        <v>-36.333333333333336</v>
      </c>
    </row>
    <row r="90" spans="3:3" x14ac:dyDescent="0.25">
      <c r="C90" s="13">
        <v>-14</v>
      </c>
    </row>
  </sheetData>
  <mergeCells count="4">
    <mergeCell ref="B1:C1"/>
    <mergeCell ref="E48:G48"/>
    <mergeCell ref="K48:M48"/>
    <mergeCell ref="O50:P50"/>
  </mergeCells>
  <conditionalFormatting sqref="S3:U44">
    <cfRule type="expression" dxfId="0" priority="2">
      <formula>AND($W3&lt;0,showLine)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71" r:id="rId3" name="scrBeta1">
          <controlPr defaultSize="0" autoLine="0" linkedCell="Link2" r:id="rId4">
            <anchor moveWithCells="1">
              <from>
                <xdr:col>5</xdr:col>
                <xdr:colOff>19050</xdr:colOff>
                <xdr:row>3</xdr:row>
                <xdr:rowOff>19050</xdr:rowOff>
              </from>
              <to>
                <xdr:col>6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2071" r:id="rId3" name="scrBeta1"/>
      </mc:Fallback>
    </mc:AlternateContent>
    <mc:AlternateContent xmlns:mc="http://schemas.openxmlformats.org/markup-compatibility/2006">
      <mc:Choice Requires="x14">
        <control shapeId="2070" r:id="rId5" name="scrBeta0">
          <controlPr defaultSize="0" autoLine="0" linkedCell="Link1" r:id="rId6">
            <anchor moveWithCells="1">
              <from>
                <xdr:col>3</xdr:col>
                <xdr:colOff>600075</xdr:colOff>
                <xdr:row>3</xdr:row>
                <xdr:rowOff>9525</xdr:rowOff>
              </from>
              <to>
                <xdr:col>4</xdr:col>
                <xdr:colOff>657225</xdr:colOff>
                <xdr:row>4</xdr:row>
                <xdr:rowOff>9525</xdr:rowOff>
              </to>
            </anchor>
          </controlPr>
        </control>
      </mc:Choice>
      <mc:Fallback>
        <control shapeId="2070" r:id="rId5" name="scrBeta0"/>
      </mc:Fallback>
    </mc:AlternateContent>
    <mc:AlternateContent xmlns:mc="http://schemas.openxmlformats.org/markup-compatibility/2006">
      <mc:Choice Requires="x14">
        <control shapeId="2066" r:id="rId7" name="chkShowMargins">
          <controlPr defaultSize="0" autoLine="0" autoPict="0" linkedCell="showMargins" r:id="rId8">
            <anchor moveWithCells="1">
              <from>
                <xdr:col>7</xdr:col>
                <xdr:colOff>57150</xdr:colOff>
                <xdr:row>5</xdr:row>
                <xdr:rowOff>76200</xdr:rowOff>
              </from>
              <to>
                <xdr:col>8</xdr:col>
                <xdr:colOff>647700</xdr:colOff>
                <xdr:row>6</xdr:row>
                <xdr:rowOff>123825</xdr:rowOff>
              </to>
            </anchor>
          </controlPr>
        </control>
      </mc:Choice>
      <mc:Fallback>
        <control shapeId="2066" r:id="rId7" name="chkShowMargins"/>
      </mc:Fallback>
    </mc:AlternateContent>
    <mc:AlternateContent xmlns:mc="http://schemas.openxmlformats.org/markup-compatibility/2006">
      <mc:Choice Requires="x14">
        <control shapeId="2049" r:id="rId9" name="btnNewValues">
          <controlPr defaultSize="0" autoLine="0" r:id="rId10">
            <anchor moveWithCells="1">
              <from>
                <xdr:col>20</xdr:col>
                <xdr:colOff>285750</xdr:colOff>
                <xdr:row>0</xdr:row>
                <xdr:rowOff>28575</xdr:rowOff>
              </from>
              <to>
                <xdr:col>21</xdr:col>
                <xdr:colOff>123825</xdr:colOff>
                <xdr:row>1</xdr:row>
                <xdr:rowOff>95250</xdr:rowOff>
              </to>
            </anchor>
          </controlPr>
        </control>
      </mc:Choice>
      <mc:Fallback>
        <control shapeId="2049" r:id="rId9" name="btnNewValues"/>
      </mc:Fallback>
    </mc:AlternateContent>
    <mc:AlternateContent xmlns:mc="http://schemas.openxmlformats.org/markup-compatibility/2006">
      <mc:Choice Requires="x14">
        <control shapeId="2050" r:id="rId11" name="btnSolve">
          <controlPr defaultSize="0" autoLine="0" autoPict="0" r:id="rId12">
            <anchor moveWithCells="1">
              <from>
                <xdr:col>7</xdr:col>
                <xdr:colOff>76200</xdr:colOff>
                <xdr:row>0</xdr:row>
                <xdr:rowOff>180975</xdr:rowOff>
              </from>
              <to>
                <xdr:col>7</xdr:col>
                <xdr:colOff>581025</xdr:colOff>
                <xdr:row>2</xdr:row>
                <xdr:rowOff>57150</xdr:rowOff>
              </to>
            </anchor>
          </controlPr>
        </control>
      </mc:Choice>
      <mc:Fallback>
        <control shapeId="2050" r:id="rId11" name="btnSolve"/>
      </mc:Fallback>
    </mc:AlternateContent>
    <mc:AlternateContent xmlns:mc="http://schemas.openxmlformats.org/markup-compatibility/2006">
      <mc:Choice Requires="x14">
        <control shapeId="2052" r:id="rId13" name="chkShowLine">
          <controlPr defaultSize="0" autoLine="0" linkedCell="showLine" r:id="rId14">
            <anchor moveWithCells="1">
              <from>
                <xdr:col>7</xdr:col>
                <xdr:colOff>76200</xdr:colOff>
                <xdr:row>3</xdr:row>
                <xdr:rowOff>38100</xdr:rowOff>
              </from>
              <to>
                <xdr:col>8</xdr:col>
                <xdr:colOff>419100</xdr:colOff>
                <xdr:row>4</xdr:row>
                <xdr:rowOff>85725</xdr:rowOff>
              </to>
            </anchor>
          </controlPr>
        </control>
      </mc:Choice>
      <mc:Fallback>
        <control shapeId="2052" r:id="rId13" name="chkShowLine"/>
      </mc:Fallback>
    </mc:AlternateContent>
    <mc:AlternateContent xmlns:mc="http://schemas.openxmlformats.org/markup-compatibility/2006">
      <mc:Choice Requires="x14">
        <control shapeId="2053" r:id="rId15" name="chkShowPoints">
          <controlPr defaultSize="0" autoLine="0" linkedCell="showPoints" r:id="rId16">
            <anchor moveWithCells="1">
              <from>
                <xdr:col>7</xdr:col>
                <xdr:colOff>66675</xdr:colOff>
                <xdr:row>4</xdr:row>
                <xdr:rowOff>57150</xdr:rowOff>
              </from>
              <to>
                <xdr:col>8</xdr:col>
                <xdr:colOff>409575</xdr:colOff>
                <xdr:row>5</xdr:row>
                <xdr:rowOff>104775</xdr:rowOff>
              </to>
            </anchor>
          </controlPr>
        </control>
      </mc:Choice>
      <mc:Fallback>
        <control shapeId="2053" r:id="rId15" name="chkShowPoints"/>
      </mc:Fallback>
    </mc:AlternateContent>
    <mc:AlternateContent xmlns:mc="http://schemas.openxmlformats.org/markup-compatibility/2006">
      <mc:Choice Requires="x14">
        <control shapeId="2054" r:id="rId17" name="btnInitialize">
          <controlPr defaultSize="0" autoLine="0" autoPict="0" r:id="rId18">
            <anchor moveWithCells="1">
              <from>
                <xdr:col>4</xdr:col>
                <xdr:colOff>19050</xdr:colOff>
                <xdr:row>0</xdr:row>
                <xdr:rowOff>28575</xdr:rowOff>
              </from>
              <to>
                <xdr:col>4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2054" r:id="rId17" name="btnInitialize"/>
      </mc:Fallback>
    </mc:AlternateContent>
    <mc:AlternateContent xmlns:mc="http://schemas.openxmlformats.org/markup-compatibility/2006">
      <mc:Choice Requires="x14">
        <control shapeId="2065" r:id="rId19" name="btnResetX2s">
          <controlPr defaultSize="0" autoLine="0" r:id="rId20">
            <anchor moveWithCells="1">
              <from>
                <xdr:col>18</xdr:col>
                <xdr:colOff>438150</xdr:colOff>
                <xdr:row>0</xdr:row>
                <xdr:rowOff>28575</xdr:rowOff>
              </from>
              <to>
                <xdr:col>20</xdr:col>
                <xdr:colOff>276225</xdr:colOff>
                <xdr:row>1</xdr:row>
                <xdr:rowOff>95250</xdr:rowOff>
              </to>
            </anchor>
          </controlPr>
        </control>
      </mc:Choice>
      <mc:Fallback>
        <control shapeId="2065" r:id="rId19" name="btnResetX2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R34"/>
  <sheetViews>
    <sheetView workbookViewId="0">
      <selection activeCell="N20" sqref="N20"/>
    </sheetView>
  </sheetViews>
  <sheetFormatPr defaultRowHeight="15" x14ac:dyDescent="0.25"/>
  <cols>
    <col min="1" max="1" width="4" customWidth="1"/>
    <col min="2" max="2" width="23.7109375" customWidth="1"/>
    <col min="3" max="5" width="9.5703125" customWidth="1"/>
    <col min="6" max="6" width="11.28515625" bestFit="1" customWidth="1"/>
    <col min="7" max="7" width="12.28515625" customWidth="1"/>
    <col min="9" max="9" width="12" bestFit="1" customWidth="1"/>
    <col min="17" max="18" width="12.85546875" customWidth="1"/>
  </cols>
  <sheetData>
    <row r="2" spans="2:18" ht="21.75" thickBot="1" x14ac:dyDescent="0.4">
      <c r="B2" s="15" t="s">
        <v>40</v>
      </c>
    </row>
    <row r="3" spans="2:18" ht="21.75" thickBot="1" x14ac:dyDescent="0.4">
      <c r="B3" s="15"/>
      <c r="C3" s="25" t="s">
        <v>41</v>
      </c>
      <c r="D3" s="26"/>
      <c r="E3" s="26"/>
      <c r="F3" s="26"/>
      <c r="G3" s="27"/>
      <c r="J3" s="25" t="s">
        <v>42</v>
      </c>
      <c r="K3" s="26"/>
      <c r="L3" s="26"/>
      <c r="M3" s="26"/>
      <c r="N3" s="27"/>
      <c r="Q3" s="28" t="s">
        <v>43</v>
      </c>
      <c r="R3" s="29"/>
    </row>
    <row r="4" spans="2:18" s="30" customFormat="1" ht="45.75" thickBot="1" x14ac:dyDescent="0.3">
      <c r="C4" s="31" t="s">
        <v>18</v>
      </c>
      <c r="D4" s="31" t="s">
        <v>19</v>
      </c>
      <c r="E4" s="31" t="s">
        <v>20</v>
      </c>
      <c r="F4" s="31" t="s">
        <v>21</v>
      </c>
      <c r="G4" s="32" t="s">
        <v>22</v>
      </c>
      <c r="H4" s="33" t="s">
        <v>25</v>
      </c>
      <c r="I4" s="34" t="s">
        <v>26</v>
      </c>
      <c r="J4" s="35" t="s">
        <v>18</v>
      </c>
      <c r="K4" s="31" t="s">
        <v>19</v>
      </c>
      <c r="L4" s="31" t="s">
        <v>20</v>
      </c>
      <c r="M4" s="31" t="s">
        <v>21</v>
      </c>
      <c r="N4" s="31" t="s">
        <v>22</v>
      </c>
      <c r="O4" s="36" t="s">
        <v>25</v>
      </c>
      <c r="P4" s="33" t="s">
        <v>26</v>
      </c>
      <c r="Q4" s="33" t="s">
        <v>44</v>
      </c>
      <c r="R4" s="34" t="s">
        <v>45</v>
      </c>
    </row>
    <row r="5" spans="2:18" x14ac:dyDescent="0.25">
      <c r="B5" s="11" t="s">
        <v>23</v>
      </c>
      <c r="C5" s="37">
        <f t="shared" ref="C5:G14" ca="1" si="0">_xlfn.NORM.INV(RAND(),100,25)</f>
        <v>133.53839383406441</v>
      </c>
      <c r="D5" s="37">
        <f t="shared" ca="1" si="0"/>
        <v>110.96241398760489</v>
      </c>
      <c r="E5" s="37">
        <f t="shared" ca="1" si="0"/>
        <v>90.503614824763588</v>
      </c>
      <c r="F5" s="37">
        <f t="shared" ca="1" si="0"/>
        <v>79.138417866052748</v>
      </c>
      <c r="G5" s="38">
        <f t="shared" ca="1" si="0"/>
        <v>107.96183731633951</v>
      </c>
      <c r="H5" s="39">
        <f ca="1">AVERAGE(C5:G5)</f>
        <v>104.42093556576503</v>
      </c>
      <c r="I5" s="40">
        <f ca="1">_xlfn.STDEV.S(C5:G5)</f>
        <v>20.832983577736428</v>
      </c>
      <c r="J5" s="41">
        <f ca="1">(C5-$H5)/$I5</f>
        <v>1.3976614611944642</v>
      </c>
      <c r="K5" s="11">
        <f t="shared" ref="K5:N14" ca="1" si="1">(D5-$H5)/$I5</f>
        <v>0.31399623570147356</v>
      </c>
      <c r="L5" s="11">
        <f t="shared" ca="1" si="1"/>
        <v>-0.66804261084689098</v>
      </c>
      <c r="M5" s="11">
        <f t="shared" ca="1" si="1"/>
        <v>-1.2135812235138004</v>
      </c>
      <c r="N5" s="42">
        <f t="shared" ca="1" si="1"/>
        <v>0.16996613746475231</v>
      </c>
      <c r="O5" s="43">
        <f ca="1">AVERAGE(J5:N5)</f>
        <v>-2.2204460492503131E-16</v>
      </c>
      <c r="P5" s="40">
        <f ca="1">_xlfn.STDEV.S(J5:N5)</f>
        <v>1.0000000000000013</v>
      </c>
      <c r="Q5" s="39">
        <f ca="1">SUMPRODUCT(J14:N14,J5:N5)/(COUNT(J5:N5)-1)</f>
        <v>0.94097961284693543</v>
      </c>
      <c r="R5" s="40">
        <f ca="1">CORREL(J14:N14,J5:N5)*(COUNT(J5:N5)-1)/(COUNT(J5:N5)-1)</f>
        <v>0.94097961284693932</v>
      </c>
    </row>
    <row r="6" spans="2:18" x14ac:dyDescent="0.25">
      <c r="B6" s="12" t="s">
        <v>24</v>
      </c>
      <c r="C6" s="44">
        <f t="shared" ca="1" si="0"/>
        <v>117.06434261119044</v>
      </c>
      <c r="D6" s="44">
        <f t="shared" ca="1" si="0"/>
        <v>86.727889151949185</v>
      </c>
      <c r="E6" s="44">
        <f t="shared" ca="1" si="0"/>
        <v>111.71416736837486</v>
      </c>
      <c r="F6" s="44">
        <f t="shared" ca="1" si="0"/>
        <v>94.705753970993641</v>
      </c>
      <c r="G6" s="45">
        <f t="shared" ca="1" si="0"/>
        <v>70.324387391025397</v>
      </c>
      <c r="H6" s="39">
        <f t="shared" ref="H6:H14" ca="1" si="2">AVERAGE(C6:G6)</f>
        <v>96.107308098706724</v>
      </c>
      <c r="I6" s="40">
        <f t="shared" ref="I6:I14" ca="1" si="3">_xlfn.STDEV.S(C6:G6)</f>
        <v>18.956978964163373</v>
      </c>
      <c r="J6" s="46">
        <f t="shared" ref="J6:J14" ca="1" si="4">(C6-$H6)/$I6</f>
        <v>1.1055049727122284</v>
      </c>
      <c r="K6" s="12">
        <f t="shared" ca="1" si="1"/>
        <v>-0.49477392808677839</v>
      </c>
      <c r="L6" s="12">
        <f t="shared" ca="1" si="1"/>
        <v>0.82327776483645598</v>
      </c>
      <c r="M6" s="12">
        <f t="shared" ca="1" si="1"/>
        <v>-7.3933411561125206E-2</v>
      </c>
      <c r="N6" s="47">
        <f t="shared" ca="1" si="1"/>
        <v>-1.360075397900786</v>
      </c>
      <c r="O6" s="43">
        <f t="shared" ref="O6:O14" ca="1" si="5">AVERAGE(J6:N6)</f>
        <v>-1.0658141036401502E-15</v>
      </c>
      <c r="P6" s="40">
        <f t="shared" ref="P6:P14" ca="1" si="6">_xlfn.STDEV.S(J6:N6)</f>
        <v>1.0000000000000056</v>
      </c>
      <c r="Q6" s="39">
        <f ca="1">SUMPRODUCT(J5:N5,J6:N6)/(COUNT(J6:N6)-1)</f>
        <v>0.1745843387803919</v>
      </c>
      <c r="R6" s="40">
        <f ca="1">CORREL(J5:N5,J6:N6)*(COUNT(J6:N6)-1)/(COUNT(J6:N6)-1)</f>
        <v>0.17458433878039073</v>
      </c>
    </row>
    <row r="7" spans="2:18" x14ac:dyDescent="0.25">
      <c r="B7" s="12" t="s">
        <v>46</v>
      </c>
      <c r="C7" s="44">
        <f t="shared" ca="1" si="0"/>
        <v>72.520754955048716</v>
      </c>
      <c r="D7" s="44">
        <f t="shared" ca="1" si="0"/>
        <v>119.28613579858748</v>
      </c>
      <c r="E7" s="44">
        <f t="shared" ca="1" si="0"/>
        <v>110.8419409733152</v>
      </c>
      <c r="F7" s="44">
        <f t="shared" ca="1" si="0"/>
        <v>73.183656013097973</v>
      </c>
      <c r="G7" s="45">
        <f t="shared" ca="1" si="0"/>
        <v>65.346344461140902</v>
      </c>
      <c r="H7" s="39">
        <f t="shared" ca="1" si="2"/>
        <v>88.235766440238052</v>
      </c>
      <c r="I7" s="40">
        <f t="shared" ca="1" si="3"/>
        <v>24.862712126483167</v>
      </c>
      <c r="J7" s="46">
        <f t="shared" ca="1" si="4"/>
        <v>-0.63207148943538149</v>
      </c>
      <c r="K7" s="12">
        <f t="shared" ca="1" si="1"/>
        <v>1.2488729789569222</v>
      </c>
      <c r="L7" s="12">
        <f t="shared" ca="1" si="1"/>
        <v>0.90924008684465252</v>
      </c>
      <c r="M7" s="12">
        <f t="shared" ca="1" si="1"/>
        <v>-0.60540902981806766</v>
      </c>
      <c r="N7" s="47">
        <f t="shared" ca="1" si="1"/>
        <v>-0.92063254654812521</v>
      </c>
      <c r="O7" s="43">
        <f t="shared" ca="1" si="5"/>
        <v>0</v>
      </c>
      <c r="P7" s="40">
        <f t="shared" ca="1" si="6"/>
        <v>1.0000000000000013</v>
      </c>
      <c r="Q7" s="39">
        <f t="shared" ref="Q7:Q14" ca="1" si="7">SUMPRODUCT(J6:N6,J7:N7)/(COUNT(J7:N7)-1)</f>
        <v>0.18219470356699871</v>
      </c>
      <c r="R7" s="40">
        <f t="shared" ref="R7:R14" ca="1" si="8">CORREL(J6:N6,J7:N7)*(COUNT(J7:N7)-1)/(COUNT(J7:N7)-1)</f>
        <v>0.18219470356699746</v>
      </c>
    </row>
    <row r="8" spans="2:18" x14ac:dyDescent="0.25">
      <c r="B8" s="12" t="s">
        <v>47</v>
      </c>
      <c r="C8" s="44">
        <f t="shared" ca="1" si="0"/>
        <v>122.30629853936551</v>
      </c>
      <c r="D8" s="44">
        <f t="shared" ca="1" si="0"/>
        <v>111.93298300795381</v>
      </c>
      <c r="E8" s="44">
        <f t="shared" ca="1" si="0"/>
        <v>127.4153409965282</v>
      </c>
      <c r="F8" s="44">
        <f t="shared" ca="1" si="0"/>
        <v>88.287798402229498</v>
      </c>
      <c r="G8" s="45">
        <f t="shared" ca="1" si="0"/>
        <v>110.89723994287795</v>
      </c>
      <c r="H8" s="39">
        <f t="shared" ca="1" si="2"/>
        <v>112.167932177791</v>
      </c>
      <c r="I8" s="40">
        <f t="shared" ca="1" si="3"/>
        <v>15.059885434276959</v>
      </c>
      <c r="J8" s="46">
        <f t="shared" ca="1" si="4"/>
        <v>0.67320341883206802</v>
      </c>
      <c r="K8" s="12">
        <f t="shared" ca="1" si="1"/>
        <v>-1.5600993172394186E-2</v>
      </c>
      <c r="L8" s="12">
        <f t="shared" ca="1" si="1"/>
        <v>1.0124518466809467</v>
      </c>
      <c r="M8" s="12">
        <f t="shared" ca="1" si="1"/>
        <v>-1.5856783160653583</v>
      </c>
      <c r="N8" s="47">
        <f t="shared" ca="1" si="1"/>
        <v>-8.4375956275265243E-2</v>
      </c>
      <c r="O8" s="43">
        <f t="shared" ca="1" si="5"/>
        <v>-5.6898930012039273E-16</v>
      </c>
      <c r="P8" s="40">
        <f t="shared" ca="1" si="6"/>
        <v>1.0000000000000056</v>
      </c>
      <c r="Q8" s="39">
        <f t="shared" ca="1" si="7"/>
        <v>0.37830717024398708</v>
      </c>
      <c r="R8" s="40">
        <f t="shared" ca="1" si="8"/>
        <v>0.37830717024398458</v>
      </c>
    </row>
    <row r="9" spans="2:18" x14ac:dyDescent="0.25">
      <c r="B9" s="12" t="s">
        <v>48</v>
      </c>
      <c r="C9" s="44">
        <f t="shared" ca="1" si="0"/>
        <v>110.58752606336753</v>
      </c>
      <c r="D9" s="44">
        <f t="shared" ca="1" si="0"/>
        <v>104.34735765514196</v>
      </c>
      <c r="E9" s="44">
        <f t="shared" ca="1" si="0"/>
        <v>162.1723535825889</v>
      </c>
      <c r="F9" s="44">
        <f t="shared" ca="1" si="0"/>
        <v>118.94321853253079</v>
      </c>
      <c r="G9" s="45">
        <f t="shared" ca="1" si="0"/>
        <v>108.46646062649458</v>
      </c>
      <c r="H9" s="39">
        <f t="shared" ca="1" si="2"/>
        <v>120.90338329202476</v>
      </c>
      <c r="I9" s="40">
        <f t="shared" ca="1" si="3"/>
        <v>23.675758147139508</v>
      </c>
      <c r="J9" s="46">
        <f t="shared" ca="1" si="4"/>
        <v>-0.43571391313201002</v>
      </c>
      <c r="K9" s="12">
        <f t="shared" ca="1" si="1"/>
        <v>-0.69928175199251574</v>
      </c>
      <c r="L9" s="12">
        <f t="shared" ca="1" si="1"/>
        <v>1.7430897052625212</v>
      </c>
      <c r="M9" s="12">
        <f t="shared" ca="1" si="1"/>
        <v>-8.279205875106431E-2</v>
      </c>
      <c r="N9" s="47">
        <f t="shared" ca="1" si="1"/>
        <v>-0.52530198138693174</v>
      </c>
      <c r="O9" s="43">
        <f t="shared" ca="1" si="5"/>
        <v>0</v>
      </c>
      <c r="P9" s="40">
        <f t="shared" ca="1" si="6"/>
        <v>0.99999999999999867</v>
      </c>
      <c r="Q9" s="39">
        <f t="shared" ca="1" si="7"/>
        <v>0.4144960535564049</v>
      </c>
      <c r="R9" s="40">
        <f t="shared" ca="1" si="8"/>
        <v>0.41449605355640307</v>
      </c>
    </row>
    <row r="10" spans="2:18" x14ac:dyDescent="0.25">
      <c r="B10" s="12" t="s">
        <v>49</v>
      </c>
      <c r="C10" s="44">
        <f t="shared" ca="1" si="0"/>
        <v>100.19288962443386</v>
      </c>
      <c r="D10" s="44">
        <f t="shared" ca="1" si="0"/>
        <v>83.862544189164225</v>
      </c>
      <c r="E10" s="44">
        <f t="shared" ca="1" si="0"/>
        <v>68.717439481587633</v>
      </c>
      <c r="F10" s="44">
        <f t="shared" ca="1" si="0"/>
        <v>87.485480629894241</v>
      </c>
      <c r="G10" s="45">
        <f t="shared" ca="1" si="0"/>
        <v>105.2826393596423</v>
      </c>
      <c r="H10" s="39">
        <f t="shared" ca="1" si="2"/>
        <v>89.108198656944452</v>
      </c>
      <c r="I10" s="40">
        <f t="shared" ca="1" si="3"/>
        <v>14.40847034063542</v>
      </c>
      <c r="J10" s="46">
        <f t="shared" ca="1" si="4"/>
        <v>0.76931767949217078</v>
      </c>
      <c r="K10" s="12">
        <f t="shared" ca="1" si="1"/>
        <v>-0.36406740922290654</v>
      </c>
      <c r="L10" s="12">
        <f t="shared" ca="1" si="1"/>
        <v>-1.4151925008895552</v>
      </c>
      <c r="M10" s="12">
        <f t="shared" ca="1" si="1"/>
        <v>-0.11262250528244827</v>
      </c>
      <c r="N10" s="47">
        <f t="shared" ca="1" si="1"/>
        <v>1.1225647359027393</v>
      </c>
      <c r="O10" s="43">
        <f t="shared" ca="1" si="5"/>
        <v>0</v>
      </c>
      <c r="P10" s="40">
        <f t="shared" ca="1" si="6"/>
        <v>1.0000000000000018</v>
      </c>
      <c r="Q10" s="39">
        <f t="shared" ca="1" si="7"/>
        <v>-0.78194635775111909</v>
      </c>
      <c r="R10" s="40">
        <f t="shared" ca="1" si="8"/>
        <v>-0.78194635775111865</v>
      </c>
    </row>
    <row r="11" spans="2:18" x14ac:dyDescent="0.25">
      <c r="B11" s="12" t="s">
        <v>50</v>
      </c>
      <c r="C11" s="44">
        <f t="shared" ca="1" si="0"/>
        <v>53.203162731174416</v>
      </c>
      <c r="D11" s="44">
        <f t="shared" ca="1" si="0"/>
        <v>107.11730211904614</v>
      </c>
      <c r="E11" s="44">
        <f t="shared" ca="1" si="0"/>
        <v>67.823618675592343</v>
      </c>
      <c r="F11" s="44">
        <f t="shared" ca="1" si="0"/>
        <v>115.11598046163657</v>
      </c>
      <c r="G11" s="45">
        <f t="shared" ca="1" si="0"/>
        <v>104.38333576744722</v>
      </c>
      <c r="H11" s="39">
        <f t="shared" ca="1" si="2"/>
        <v>89.528679950979338</v>
      </c>
      <c r="I11" s="40">
        <f t="shared" ca="1" si="3"/>
        <v>27.273536912518626</v>
      </c>
      <c r="J11" s="46">
        <f t="shared" ca="1" si="4"/>
        <v>-1.3318960916701426</v>
      </c>
      <c r="K11" s="12">
        <f t="shared" ca="1" si="1"/>
        <v>0.64489700123908689</v>
      </c>
      <c r="L11" s="12">
        <f t="shared" ca="1" si="1"/>
        <v>-0.79582862116516739</v>
      </c>
      <c r="M11" s="12">
        <f t="shared" ca="1" si="1"/>
        <v>0.93817316737209067</v>
      </c>
      <c r="N11" s="47">
        <f t="shared" ca="1" si="1"/>
        <v>0.5446545442241324</v>
      </c>
      <c r="O11" s="43">
        <f t="shared" ca="1" si="5"/>
        <v>0</v>
      </c>
      <c r="P11" s="40">
        <f t="shared" ca="1" si="6"/>
        <v>0.99999999999999978</v>
      </c>
      <c r="Q11" s="39">
        <f t="shared" ca="1" si="7"/>
        <v>9.3141019434523409E-2</v>
      </c>
      <c r="R11" s="40">
        <f t="shared" ca="1" si="8"/>
        <v>9.314101943452327E-2</v>
      </c>
    </row>
    <row r="12" spans="2:18" x14ac:dyDescent="0.25">
      <c r="B12" s="12" t="s">
        <v>51</v>
      </c>
      <c r="C12" s="44">
        <f t="shared" ca="1" si="0"/>
        <v>90.031939147658719</v>
      </c>
      <c r="D12" s="44">
        <f t="shared" ca="1" si="0"/>
        <v>140.69659420237298</v>
      </c>
      <c r="E12" s="44">
        <f t="shared" ca="1" si="0"/>
        <v>114.40179204934222</v>
      </c>
      <c r="F12" s="44">
        <f t="shared" ca="1" si="0"/>
        <v>94.13290197687536</v>
      </c>
      <c r="G12" s="45">
        <f t="shared" ca="1" si="0"/>
        <v>88.99181937190302</v>
      </c>
      <c r="H12" s="39">
        <f t="shared" ca="1" si="2"/>
        <v>105.65100934963046</v>
      </c>
      <c r="I12" s="40">
        <f t="shared" ca="1" si="3"/>
        <v>22.129843976329848</v>
      </c>
      <c r="J12" s="46">
        <f t="shared" ca="1" si="4"/>
        <v>-0.70579215193193157</v>
      </c>
      <c r="K12" s="12">
        <f t="shared" ca="1" si="1"/>
        <v>1.5836345204343687</v>
      </c>
      <c r="L12" s="12">
        <f t="shared" ca="1" si="1"/>
        <v>0.39542902828739457</v>
      </c>
      <c r="M12" s="12">
        <f t="shared" ca="1" si="1"/>
        <v>-0.52047847174498385</v>
      </c>
      <c r="N12" s="47">
        <f t="shared" ca="1" si="1"/>
        <v>-0.75279292504484707</v>
      </c>
      <c r="O12" s="43">
        <f t="shared" ca="1" si="5"/>
        <v>0</v>
      </c>
      <c r="P12" s="40">
        <f t="shared" ca="1" si="6"/>
        <v>0.999999999999998</v>
      </c>
      <c r="Q12" s="39">
        <f t="shared" ca="1" si="7"/>
        <v>0.18707954993858861</v>
      </c>
      <c r="R12" s="40">
        <f t="shared" ca="1" si="8"/>
        <v>0.18707954993858908</v>
      </c>
    </row>
    <row r="13" spans="2:18" x14ac:dyDescent="0.25">
      <c r="B13" s="12" t="s">
        <v>52</v>
      </c>
      <c r="C13" s="44">
        <f t="shared" ca="1" si="0"/>
        <v>104.67339833054363</v>
      </c>
      <c r="D13" s="44">
        <f t="shared" ca="1" si="0"/>
        <v>101.74665984265874</v>
      </c>
      <c r="E13" s="44">
        <f t="shared" ca="1" si="0"/>
        <v>108.99413524767698</v>
      </c>
      <c r="F13" s="44">
        <f t="shared" ca="1" si="0"/>
        <v>79.645331239949172</v>
      </c>
      <c r="G13" s="45">
        <f t="shared" ca="1" si="0"/>
        <v>99.732032891322618</v>
      </c>
      <c r="H13" s="39">
        <f t="shared" ca="1" si="2"/>
        <v>98.958311510430221</v>
      </c>
      <c r="I13" s="40">
        <f t="shared" ca="1" si="3"/>
        <v>11.34399305328162</v>
      </c>
      <c r="J13" s="46">
        <f t="shared" ca="1" si="4"/>
        <v>0.50379851197635717</v>
      </c>
      <c r="K13" s="12">
        <f t="shared" ca="1" si="1"/>
        <v>0.2457995451100794</v>
      </c>
      <c r="L13" s="12">
        <f t="shared" ca="1" si="1"/>
        <v>0.88468175977448871</v>
      </c>
      <c r="M13" s="12">
        <f t="shared" ca="1" si="1"/>
        <v>-1.7024851989744598</v>
      </c>
      <c r="N13" s="47">
        <f t="shared" ca="1" si="1"/>
        <v>6.8205382113538285E-2</v>
      </c>
      <c r="O13" s="43">
        <f t="shared" ca="1" si="5"/>
        <v>7.6882944455292088E-16</v>
      </c>
      <c r="P13" s="40">
        <f t="shared" ca="1" si="6"/>
        <v>0.99999999999999489</v>
      </c>
      <c r="Q13" s="39">
        <f t="shared" ca="1" si="7"/>
        <v>0.30456770571808156</v>
      </c>
      <c r="R13" s="40">
        <f t="shared" ca="1" si="8"/>
        <v>0.30456770571808378</v>
      </c>
    </row>
    <row r="14" spans="2:18" ht="15.75" thickBot="1" x14ac:dyDescent="0.3">
      <c r="B14" s="12" t="s">
        <v>53</v>
      </c>
      <c r="C14" s="44">
        <f t="shared" ca="1" si="0"/>
        <v>112.1054154006173</v>
      </c>
      <c r="D14" s="44">
        <f t="shared" ca="1" si="0"/>
        <v>98.578441578190109</v>
      </c>
      <c r="E14" s="44">
        <f t="shared" ca="1" si="0"/>
        <v>89.264254699104555</v>
      </c>
      <c r="F14" s="44">
        <f t="shared" ca="1" si="0"/>
        <v>75.655450159967145</v>
      </c>
      <c r="G14" s="45">
        <f t="shared" ca="1" si="0"/>
        <v>106.34001510470657</v>
      </c>
      <c r="H14" s="48">
        <f t="shared" ca="1" si="2"/>
        <v>96.388715388517127</v>
      </c>
      <c r="I14" s="49">
        <f t="shared" ca="1" si="3"/>
        <v>14.417560067933785</v>
      </c>
      <c r="J14" s="50">
        <f t="shared" ca="1" si="4"/>
        <v>1.0901081693466164</v>
      </c>
      <c r="K14" s="13">
        <f t="shared" ca="1" si="1"/>
        <v>0.15187910987401881</v>
      </c>
      <c r="L14" s="13">
        <f t="shared" ca="1" si="1"/>
        <v>-0.494151621761448</v>
      </c>
      <c r="M14" s="13">
        <f t="shared" ca="1" si="1"/>
        <v>-1.4380564485847374</v>
      </c>
      <c r="N14" s="51">
        <f t="shared" ca="1" si="1"/>
        <v>0.69022079112555301</v>
      </c>
      <c r="O14" s="52">
        <f t="shared" ca="1" si="5"/>
        <v>5.7731597280508142E-16</v>
      </c>
      <c r="P14" s="49">
        <f t="shared" ca="1" si="6"/>
        <v>0.99999999999999445</v>
      </c>
      <c r="Q14" s="48">
        <f t="shared" ca="1" si="7"/>
        <v>0.66117658880005925</v>
      </c>
      <c r="R14" s="49">
        <f t="shared" ca="1" si="8"/>
        <v>0.66117658880006624</v>
      </c>
    </row>
    <row r="15" spans="2:18" x14ac:dyDescent="0.25">
      <c r="B15" s="53" t="s">
        <v>25</v>
      </c>
      <c r="C15" s="54">
        <f ca="1">AVERAGE(C5:C14)</f>
        <v>101.62241212374644</v>
      </c>
      <c r="D15" s="55">
        <f t="shared" ref="D15:G15" ca="1" si="9">AVERAGE(D5:D14)</f>
        <v>106.52583215326695</v>
      </c>
      <c r="E15" s="55">
        <f t="shared" ca="1" si="9"/>
        <v>105.18486578988745</v>
      </c>
      <c r="F15" s="55">
        <f t="shared" ca="1" si="9"/>
        <v>90.629398925322718</v>
      </c>
      <c r="G15" s="56">
        <f t="shared" ca="1" si="9"/>
        <v>96.772611223290014</v>
      </c>
      <c r="J15" s="1"/>
      <c r="K15" s="1"/>
      <c r="L15" s="1"/>
      <c r="M15" s="1"/>
      <c r="N15" s="1"/>
    </row>
    <row r="16" spans="2:18" ht="15.75" thickBot="1" x14ac:dyDescent="0.3">
      <c r="B16" s="57" t="s">
        <v>26</v>
      </c>
      <c r="C16" s="58">
        <f ca="1">_xlfn.STDEV.S(C5:C14)</f>
        <v>24.06517577455935</v>
      </c>
      <c r="D16" s="59">
        <f t="shared" ref="D16:G16" ca="1" si="10">_xlfn.STDEV.S(D5:D14)</f>
        <v>16.24830633255694</v>
      </c>
      <c r="E16" s="59">
        <f t="shared" ca="1" si="10"/>
        <v>28.108135022397651</v>
      </c>
      <c r="F16" s="59">
        <f t="shared" ca="1" si="10"/>
        <v>15.729621919031334</v>
      </c>
      <c r="G16" s="60">
        <f t="shared" ca="1" si="10"/>
        <v>16.464597170299964</v>
      </c>
      <c r="J16" s="1"/>
      <c r="K16" s="1"/>
      <c r="L16" s="1"/>
      <c r="M16" s="1"/>
      <c r="N16" s="1"/>
    </row>
    <row r="17" spans="2:9" x14ac:dyDescent="0.25">
      <c r="C17" s="1"/>
      <c r="D17" s="1"/>
      <c r="E17" s="1"/>
      <c r="F17" s="1"/>
      <c r="G17" s="1"/>
    </row>
    <row r="18" spans="2:9" ht="21.75" thickBot="1" x14ac:dyDescent="0.4">
      <c r="B18" s="15" t="s">
        <v>54</v>
      </c>
      <c r="C18" s="1"/>
      <c r="D18" s="1"/>
      <c r="E18" s="1"/>
      <c r="F18" s="1"/>
      <c r="G18" s="1"/>
    </row>
    <row r="19" spans="2:9" ht="15.75" thickBot="1" x14ac:dyDescent="0.3">
      <c r="C19" s="61" t="s">
        <v>18</v>
      </c>
      <c r="D19" s="61" t="s">
        <v>19</v>
      </c>
      <c r="E19" s="61" t="s">
        <v>20</v>
      </c>
      <c r="F19" s="61" t="s">
        <v>21</v>
      </c>
      <c r="G19" s="62" t="s">
        <v>22</v>
      </c>
      <c r="H19" s="63" t="s">
        <v>25</v>
      </c>
      <c r="I19" s="64" t="s">
        <v>26</v>
      </c>
    </row>
    <row r="20" spans="2:9" x14ac:dyDescent="0.25">
      <c r="B20" s="11" t="s">
        <v>23</v>
      </c>
      <c r="C20" s="37">
        <f t="shared" ref="C20:G29" ca="1" si="11">(C5-C$15)/C$16</f>
        <v>1.326230982449675</v>
      </c>
      <c r="D20" s="37">
        <f t="shared" ca="1" si="11"/>
        <v>0.27304887928216293</v>
      </c>
      <c r="E20" s="37">
        <f t="shared" ca="1" si="11"/>
        <v>-0.52231323612987046</v>
      </c>
      <c r="F20" s="37">
        <f t="shared" ca="1" si="11"/>
        <v>-0.73053129429430119</v>
      </c>
      <c r="G20" s="38">
        <f t="shared" ca="1" si="11"/>
        <v>0.67959306731375346</v>
      </c>
      <c r="H20" s="40">
        <f ca="1">AVERAGE(C20:G20)</f>
        <v>0.205205679724284</v>
      </c>
      <c r="I20" s="65">
        <f ca="1">_xlfn.STDEV.S(C20:G20)</f>
        <v>0.85018105131375232</v>
      </c>
    </row>
    <row r="21" spans="2:9" x14ac:dyDescent="0.25">
      <c r="B21" s="12" t="s">
        <v>24</v>
      </c>
      <c r="C21" s="44">
        <f t="shared" ca="1" si="11"/>
        <v>0.64167121121835025</v>
      </c>
      <c r="D21" s="44">
        <f t="shared" ca="1" si="11"/>
        <v>-1.2184619489631587</v>
      </c>
      <c r="E21" s="44">
        <f t="shared" ca="1" si="11"/>
        <v>0.23229223757764808</v>
      </c>
      <c r="F21" s="44">
        <f t="shared" ca="1" si="11"/>
        <v>0.25915149560835432</v>
      </c>
      <c r="G21" s="45">
        <f t="shared" ca="1" si="11"/>
        <v>-1.6063693243569812</v>
      </c>
      <c r="H21" s="40">
        <f t="shared" ref="H21:H29" ca="1" si="12">AVERAGE(C21:G21)</f>
        <v>-0.33834326578315743</v>
      </c>
      <c r="I21" s="65">
        <f t="shared" ref="I21:I29" ca="1" si="13">_xlfn.STDEV.S(C21:G21)</f>
        <v>1.0031889433730123</v>
      </c>
    </row>
    <row r="22" spans="2:9" x14ac:dyDescent="0.25">
      <c r="B22" s="12" t="s">
        <v>46</v>
      </c>
      <c r="C22" s="44">
        <f t="shared" ca="1" si="11"/>
        <v>-1.2092850449678711</v>
      </c>
      <c r="D22" s="44">
        <f t="shared" ca="1" si="11"/>
        <v>0.78533130679303786</v>
      </c>
      <c r="E22" s="44">
        <f t="shared" ca="1" si="11"/>
        <v>0.20126113592808537</v>
      </c>
      <c r="F22" s="44">
        <f t="shared" ca="1" si="11"/>
        <v>-1.1091012232860518</v>
      </c>
      <c r="G22" s="45">
        <f t="shared" ca="1" si="11"/>
        <v>-1.9087176222469684</v>
      </c>
      <c r="H22" s="40">
        <f t="shared" ca="1" si="12"/>
        <v>-0.64810228955595361</v>
      </c>
      <c r="I22" s="65">
        <f t="shared" ca="1" si="13"/>
        <v>1.1059777600136973</v>
      </c>
    </row>
    <row r="23" spans="2:9" x14ac:dyDescent="0.25">
      <c r="B23" s="12" t="s">
        <v>47</v>
      </c>
      <c r="C23" s="44">
        <f t="shared" ca="1" si="11"/>
        <v>0.85949450813840178</v>
      </c>
      <c r="D23" s="44">
        <f t="shared" ca="1" si="11"/>
        <v>0.33278242938173092</v>
      </c>
      <c r="E23" s="44">
        <f t="shared" ca="1" si="11"/>
        <v>0.79089114908999281</v>
      </c>
      <c r="F23" s="44">
        <f t="shared" ca="1" si="11"/>
        <v>-0.14886565838306054</v>
      </c>
      <c r="G23" s="45">
        <f t="shared" ca="1" si="11"/>
        <v>0.85787879129329458</v>
      </c>
      <c r="H23" s="40">
        <f t="shared" ca="1" si="12"/>
        <v>0.53843624390407197</v>
      </c>
      <c r="I23" s="65">
        <f t="shared" ca="1" si="13"/>
        <v>0.44258694783714786</v>
      </c>
    </row>
    <row r="24" spans="2:9" x14ac:dyDescent="0.25">
      <c r="B24" s="12" t="s">
        <v>48</v>
      </c>
      <c r="C24" s="44">
        <f t="shared" ca="1" si="11"/>
        <v>0.37253473748147797</v>
      </c>
      <c r="D24" s="44">
        <f t="shared" ca="1" si="11"/>
        <v>-0.13407394306445017</v>
      </c>
      <c r="E24" s="44">
        <f t="shared" ca="1" si="11"/>
        <v>2.0274375282206241</v>
      </c>
      <c r="F24" s="44">
        <f t="shared" ca="1" si="11"/>
        <v>1.8000317968832467</v>
      </c>
      <c r="G24" s="45">
        <f t="shared" ca="1" si="11"/>
        <v>0.71024205950806873</v>
      </c>
      <c r="H24" s="40">
        <f t="shared" ca="1" si="12"/>
        <v>0.95523443580579337</v>
      </c>
      <c r="I24" s="65">
        <f t="shared" ca="1" si="13"/>
        <v>0.92863542359414764</v>
      </c>
    </row>
    <row r="25" spans="2:9" x14ac:dyDescent="0.25">
      <c r="B25" s="12" t="s">
        <v>49</v>
      </c>
      <c r="C25" s="44">
        <f t="shared" ca="1" si="11"/>
        <v>-5.9402121667601171E-2</v>
      </c>
      <c r="D25" s="44">
        <f t="shared" ca="1" si="11"/>
        <v>-1.3948092496688103</v>
      </c>
      <c r="E25" s="44">
        <f t="shared" ca="1" si="11"/>
        <v>-1.2973975782897429</v>
      </c>
      <c r="F25" s="44">
        <f t="shared" ca="1" si="11"/>
        <v>-0.19987246429773609</v>
      </c>
      <c r="G25" s="45">
        <f t="shared" ca="1" si="11"/>
        <v>0.51686828704824295</v>
      </c>
      <c r="H25" s="40">
        <f t="shared" ca="1" si="12"/>
        <v>-0.48692262537512943</v>
      </c>
      <c r="I25" s="65">
        <f t="shared" ca="1" si="13"/>
        <v>0.82974326508293572</v>
      </c>
    </row>
    <row r="26" spans="2:9" x14ac:dyDescent="0.25">
      <c r="B26" s="12" t="s">
        <v>50</v>
      </c>
      <c r="C26" s="44">
        <f t="shared" ca="1" si="11"/>
        <v>-2.0120048091964797</v>
      </c>
      <c r="D26" s="44">
        <f t="shared" ca="1" si="11"/>
        <v>3.6401945758128718E-2</v>
      </c>
      <c r="E26" s="44">
        <f t="shared" ca="1" si="11"/>
        <v>-1.3291969419004221</v>
      </c>
      <c r="F26" s="44">
        <f t="shared" ca="1" si="11"/>
        <v>1.5567177432718478</v>
      </c>
      <c r="G26" s="45">
        <f t="shared" ca="1" si="11"/>
        <v>0.462247843991348</v>
      </c>
      <c r="H26" s="40">
        <f t="shared" ca="1" si="12"/>
        <v>-0.25716684361511544</v>
      </c>
      <c r="I26" s="65">
        <f t="shared" ca="1" si="13"/>
        <v>1.4250107226315363</v>
      </c>
    </row>
    <row r="27" spans="2:9" x14ac:dyDescent="0.25">
      <c r="B27" s="12" t="s">
        <v>51</v>
      </c>
      <c r="C27" s="44">
        <f t="shared" ca="1" si="11"/>
        <v>-0.48162843623775503</v>
      </c>
      <c r="D27" s="44">
        <f t="shared" ca="1" si="11"/>
        <v>2.1030353164032634</v>
      </c>
      <c r="E27" s="44">
        <f t="shared" ca="1" si="11"/>
        <v>0.32790956255583525</v>
      </c>
      <c r="F27" s="44">
        <f t="shared" ca="1" si="11"/>
        <v>0.22273282025385102</v>
      </c>
      <c r="G27" s="45">
        <f t="shared" ca="1" si="11"/>
        <v>-0.47257711627603932</v>
      </c>
      <c r="H27" s="40">
        <f t="shared" ca="1" si="12"/>
        <v>0.33989442933983111</v>
      </c>
      <c r="I27" s="65">
        <f t="shared" ca="1" si="13"/>
        <v>1.0556450751095894</v>
      </c>
    </row>
    <row r="28" spans="2:9" x14ac:dyDescent="0.25">
      <c r="B28" s="12" t="s">
        <v>52</v>
      </c>
      <c r="C28" s="44">
        <f t="shared" ca="1" si="11"/>
        <v>0.1267801338905058</v>
      </c>
      <c r="D28" s="44">
        <f t="shared" ca="1" si="11"/>
        <v>-0.29413356769573668</v>
      </c>
      <c r="E28" s="44">
        <f t="shared" ca="1" si="11"/>
        <v>0.1355219567130353</v>
      </c>
      <c r="F28" s="44">
        <f t="shared" ca="1" si="11"/>
        <v>-0.69830462180936959</v>
      </c>
      <c r="G28" s="45">
        <f t="shared" ca="1" si="11"/>
        <v>0.1797445535667902</v>
      </c>
      <c r="H28" s="40">
        <f t="shared" ca="1" si="12"/>
        <v>-0.110078309066955</v>
      </c>
      <c r="I28" s="65">
        <f t="shared" ca="1" si="13"/>
        <v>0.38088884122802086</v>
      </c>
    </row>
    <row r="29" spans="2:9" ht="15.75" thickBot="1" x14ac:dyDescent="0.3">
      <c r="B29" s="12" t="s">
        <v>53</v>
      </c>
      <c r="C29" s="44">
        <f t="shared" ca="1" si="11"/>
        <v>0.43560883889130086</v>
      </c>
      <c r="D29" s="44">
        <f t="shared" ca="1" si="11"/>
        <v>-0.48912116822616458</v>
      </c>
      <c r="E29" s="44">
        <f t="shared" ca="1" si="11"/>
        <v>-0.56640581376518717</v>
      </c>
      <c r="F29" s="44">
        <f t="shared" ca="1" si="11"/>
        <v>-0.95195859394678328</v>
      </c>
      <c r="G29" s="45">
        <f t="shared" ca="1" si="11"/>
        <v>0.58108946015848661</v>
      </c>
      <c r="H29" s="49">
        <f t="shared" ca="1" si="12"/>
        <v>-0.19815745537766954</v>
      </c>
      <c r="I29" s="66">
        <f t="shared" ca="1" si="13"/>
        <v>0.67032983733416862</v>
      </c>
    </row>
    <row r="30" spans="2:9" x14ac:dyDescent="0.25">
      <c r="B30" s="53" t="s">
        <v>25</v>
      </c>
      <c r="C30" s="67">
        <f ca="1">AVERAGE(C20:C29)</f>
        <v>4.5519144009631414E-16</v>
      </c>
      <c r="D30" s="68">
        <f t="shared" ref="D30:G30" ca="1" si="14">AVERAGE(D20:D29)</f>
        <v>3.3861802251067273E-16</v>
      </c>
      <c r="E30" s="68">
        <f t="shared" ca="1" si="14"/>
        <v>-2.1094237467877973E-16</v>
      </c>
      <c r="F30" s="68">
        <f t="shared" ca="1" si="14"/>
        <v>-2.7755575615628914E-16</v>
      </c>
      <c r="G30" s="69">
        <f t="shared" ca="1" si="14"/>
        <v>-4.5519144009631414E-16</v>
      </c>
    </row>
    <row r="31" spans="2:9" ht="15.75" thickBot="1" x14ac:dyDescent="0.3">
      <c r="B31" s="57" t="s">
        <v>26</v>
      </c>
      <c r="C31" s="58">
        <f ca="1">_xlfn.STDEV.S(C20:C29)</f>
        <v>0.99999999999999933</v>
      </c>
      <c r="D31" s="59">
        <f t="shared" ref="D31:G31" ca="1" si="15">_xlfn.STDEV.S(D20:D29)</f>
        <v>1.0000000000000018</v>
      </c>
      <c r="E31" s="59">
        <f t="shared" ca="1" si="15"/>
        <v>1.0000000000000007</v>
      </c>
      <c r="F31" s="59">
        <f t="shared" ca="1" si="15"/>
        <v>1.0000000000000036</v>
      </c>
      <c r="G31" s="60">
        <f t="shared" ca="1" si="15"/>
        <v>1.0000000000000036</v>
      </c>
    </row>
    <row r="32" spans="2:9" ht="15.75" thickBot="1" x14ac:dyDescent="0.3"/>
    <row r="33" spans="2:7" x14ac:dyDescent="0.25">
      <c r="B33" s="53" t="s">
        <v>55</v>
      </c>
      <c r="C33" s="70">
        <f ca="1">SUMPRODUCT(C20:C29,D20:D29)/(COUNT(C20:C29)-1)</f>
        <v>-0.26521796397704361</v>
      </c>
      <c r="D33" s="71">
        <f ca="1">SUMPRODUCT(D20:D29,E20:E29)/(COUNT(D20:D29)-1)</f>
        <v>0.267976689321063</v>
      </c>
      <c r="E33" s="71">
        <f t="shared" ref="E33:F33" ca="1" si="16">SUMPRODUCT(E20:E29,F20:F29)/(COUNT(E20:E29)-1)</f>
        <v>0.27310962676758621</v>
      </c>
      <c r="F33" s="71">
        <f t="shared" ca="1" si="16"/>
        <v>0.24303192485904804</v>
      </c>
      <c r="G33" s="72">
        <f ca="1">SUMPRODUCT(G20:G29,C20:C29)/(COUNT(G20:G29)-1)</f>
        <v>0.30260293544393424</v>
      </c>
    </row>
    <row r="34" spans="2:7" ht="15.75" thickBot="1" x14ac:dyDescent="0.3">
      <c r="B34" s="57" t="s">
        <v>56</v>
      </c>
      <c r="C34" s="73">
        <f ca="1">CORREL(C20:C29,D20:D29)</f>
        <v>-0.26521796397704328</v>
      </c>
      <c r="D34" s="74">
        <f t="shared" ref="D34:F34" ca="1" si="17">CORREL(D20:D29,E20:E29)</f>
        <v>0.26797668932106244</v>
      </c>
      <c r="E34" s="74">
        <f t="shared" ca="1" si="17"/>
        <v>0.27310962676758505</v>
      </c>
      <c r="F34" s="74">
        <f t="shared" ca="1" si="17"/>
        <v>0.24303192485904623</v>
      </c>
      <c r="G34" s="75">
        <f ca="1">CORREL(G20:G29,C20:C29)</f>
        <v>0.30260293544393319</v>
      </c>
    </row>
  </sheetData>
  <mergeCells count="3">
    <mergeCell ref="C3:G3"/>
    <mergeCell ref="J3:N3"/>
    <mergeCell ref="Q3:R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MaximalMarginClassifier</vt:lpstr>
      <vt:lpstr>InnerProduct</vt:lpstr>
      <vt:lpstr>beta0</vt:lpstr>
      <vt:lpstr>beta1</vt:lpstr>
      <vt:lpstr>beta2</vt:lpstr>
      <vt:lpstr>Betas</vt:lpstr>
      <vt:lpstr>intercept</vt:lpstr>
      <vt:lpstr>Link1</vt:lpstr>
      <vt:lpstr>Link2</vt:lpstr>
      <vt:lpstr>ResetRange</vt:lpstr>
      <vt:lpstr>ResetX2Range</vt:lpstr>
      <vt:lpstr>showLine</vt:lpstr>
      <vt:lpstr>showMargins</vt:lpstr>
      <vt:lpstr>showPoints</vt:lpstr>
      <vt:lpstr>slope</vt:lpstr>
      <vt:lpstr>x2Range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2017-02-08T13:45:20Z</dcterms:created>
  <dcterms:modified xsi:type="dcterms:W3CDTF">2019-02-03T15:08:54Z</dcterms:modified>
</cp:coreProperties>
</file>